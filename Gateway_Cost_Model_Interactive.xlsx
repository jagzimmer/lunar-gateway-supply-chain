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prasannakumar/Downloads/Lunar Gateway Project/lunar-gateway-supply-chain/data/"/>
    </mc:Choice>
  </mc:AlternateContent>
  <xr:revisionPtr revIDLastSave="0" documentId="13_ncr:1_{20E10C09-1956-8D47-BE04-9E06C9B11C0F}" xr6:coauthVersionLast="47" xr6:coauthVersionMax="47" xr10:uidLastSave="{00000000-0000-0000-0000-000000000000}"/>
  <bookViews>
    <workbookView xWindow="0" yWindow="780" windowWidth="34200" windowHeight="21460" tabRatio="500" xr2:uid="{00000000-000D-0000-FFFF-FFFF00000000}"/>
  </bookViews>
  <sheets>
    <sheet name="Dashboard" sheetId="1" r:id="rId1"/>
    <sheet name="CER_Calculator" sheetId="2" r:id="rId2"/>
    <sheet name="LCC_Breakdown" sheetId="3" r:id="rId3"/>
    <sheet name="Monte_Carlo" sheetId="4" r:id="rId4"/>
    <sheet name="MILP_Schedule" sheetId="5" r:id="rId5"/>
    <sheet name="Safety_Stock" sheetId="6" r:id="rId6"/>
    <sheet name="Scenario_Analysis" sheetId="7" r:id="rId7"/>
    <sheet name="Replication_Guide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4" i="6" l="1"/>
  <c r="B13" i="6"/>
  <c r="B12" i="6"/>
  <c r="B11" i="6"/>
  <c r="E23" i="5"/>
  <c r="E21" i="5"/>
  <c r="E20" i="5"/>
  <c r="E19" i="5"/>
  <c r="E22" i="5" s="1"/>
  <c r="G16" i="5"/>
  <c r="E16" i="5"/>
  <c r="D16" i="5"/>
  <c r="D15" i="3"/>
  <c r="F15" i="3" s="1"/>
  <c r="E26" i="2"/>
  <c r="E24" i="2"/>
  <c r="E23" i="2"/>
  <c r="E22" i="2"/>
  <c r="E21" i="2"/>
  <c r="E20" i="2"/>
  <c r="E19" i="2"/>
  <c r="E25" i="2" s="1"/>
  <c r="E24" i="5" l="1"/>
  <c r="E25" i="5" s="1"/>
  <c r="E27" i="2"/>
</calcChain>
</file>

<file path=xl/sharedStrings.xml><?xml version="1.0" encoding="utf-8"?>
<sst xmlns="http://schemas.openxmlformats.org/spreadsheetml/2006/main" count="425" uniqueCount="377">
  <si>
    <t>LUNAR GATEWAY SUPPLY CHAIN — COST MODEL DASHBOARD</t>
  </si>
  <si>
    <t>EG7302 MEM Individual Project  |  Jagathguru Pazhanaivel (249057008)  |  University of Leicester</t>
  </si>
  <si>
    <t>KEY MODEL OUTPUTS</t>
  </si>
  <si>
    <t>BASELINE LCC (P50)</t>
  </si>
  <si>
    <t>$1,472M</t>
  </si>
  <si>
    <t>21 missions | CER-1–7 | 7-yr baseline</t>
  </si>
  <si>
    <t>OPTIMISED LCC (P50)</t>
  </si>
  <si>
    <t>$1,247M</t>
  </si>
  <si>
    <t>11 missions | MILP-optimal | FH×9 + VC×2</t>
  </si>
  <si>
    <t>COST SAVING</t>
  </si>
  <si>
    <t>$225M</t>
  </si>
  <si>
    <t>15.3% reduction | verified Python &amp; MATLAB</t>
  </si>
  <si>
    <t>SAFETY STOCK</t>
  </si>
  <si>
    <t>193 kg</t>
  </si>
  <si>
    <t>k_s=1.65 | σ_d=21.4 kg/d | L_r=30 days</t>
  </si>
  <si>
    <t>HOLDING COST/yr</t>
  </si>
  <si>
    <t>$11.6M</t>
  </si>
  <si>
    <t>$60,104/kg/yr × 193 kg</t>
  </si>
  <si>
    <t>ISRU NPV</t>
  </si>
  <si>
    <t>+$32M</t>
  </si>
  <si>
    <t>IRR=14.8% | Break-even Year 4.2</t>
  </si>
  <si>
    <t>MONTE CARLO P10</t>
  </si>
  <si>
    <t>$1,210M</t>
  </si>
  <si>
    <t>SALib Sobol | N=1,024 | 10,240 evals</t>
  </si>
  <si>
    <t>MONTE CARLO P90</t>
  </si>
  <si>
    <t>$1,820M</t>
  </si>
  <si>
    <t>95th percentile upper bound</t>
  </si>
  <si>
    <t>WORKBOOK NAVIGATION</t>
  </si>
  <si>
    <t>CER_Calculator</t>
  </si>
  <si>
    <t>Input cargo mass (kg) → compute launch, ops, ground, ISRU costs using CER-1–7</t>
  </si>
  <si>
    <t>LCC_Breakdown</t>
  </si>
  <si>
    <t>Full P10/P50/P90 lifecycle cost table by cost element (matches T4.6)</t>
  </si>
  <si>
    <t>Monte_Carlo</t>
  </si>
  <si>
    <t>8-parameter distribution table + Sobol S1 indices (matches T4.7)</t>
  </si>
  <si>
    <t>MILP_Schedule</t>
  </si>
  <si>
    <t>11-mission optimised schedule + LCC verification (matches T4.8–T4.9)</t>
  </si>
  <si>
    <t>Safety_Stock</t>
  </si>
  <si>
    <t>Interactive safety stock calculator: vary k_s, σ_d, L_r → SS and cost</t>
  </si>
  <si>
    <t>Scenario_Analysis</t>
  </si>
  <si>
    <t>S0–S5 scenario comparison ($928M–$1,472M LCC range)</t>
  </si>
  <si>
    <t>Replication_Guide</t>
  </si>
  <si>
    <t>Step-by-step guide: replicate in Python / MATLAB / Crystal Ball</t>
  </si>
  <si>
    <t>CER CALCULATOR — Input Assumptions → Automatic Cost Output</t>
  </si>
  <si>
    <t>Blue cells = inputs you can change.  Black cells = formula outputs.  Do NOT edit formula cells.</t>
  </si>
  <si>
    <t>SECTION 1 — INPUT ASSUMPTIONS (Blue = change these)</t>
  </si>
  <si>
    <t>Parameter</t>
  </si>
  <si>
    <t>Symbol</t>
  </si>
  <si>
    <t>Value</t>
  </si>
  <si>
    <t>Units</t>
  </si>
  <si>
    <t>Notes / Source</t>
  </si>
  <si>
    <t>Cargo mass per mission (kg)</t>
  </si>
  <si>
    <t>m</t>
  </si>
  <si>
    <t>kg</t>
  </si>
  <si>
    <t>T4.9: FH max=5,000 kg; VC max=3,200 kg</t>
  </si>
  <si>
    <t>Number of missions (7-year total)</t>
  </si>
  <si>
    <t>N_miss</t>
  </si>
  <si>
    <t>count</t>
  </si>
  <si>
    <t>MILP optimal: 11 (FH×9 + VC×2)</t>
  </si>
  <si>
    <t>Crew size</t>
  </si>
  <si>
    <t>N_crew</t>
  </si>
  <si>
    <t>persons</t>
  </si>
  <si>
    <t>Artemis crew of 4; per NASA Gateway manifest</t>
  </si>
  <si>
    <t>Mission duration</t>
  </si>
  <si>
    <t>t_miss</t>
  </si>
  <si>
    <t>days</t>
  </si>
  <si>
    <t>Average mission duration incl. transit</t>
  </si>
  <si>
    <t>Provider failure probability</t>
  </si>
  <si>
    <t>P_fail</t>
  </si>
  <si>
    <t>0–1</t>
  </si>
  <si>
    <t>CLPS baseline; T4.7 S1=0.187</t>
  </si>
  <si>
    <t>Safety factor (k_s)</t>
  </si>
  <si>
    <t>k_s</t>
  </si>
  <si>
    <t>—</t>
  </si>
  <si>
    <t>95th percentile service level</t>
  </si>
  <si>
    <t>Demand std dev (σ_d)</t>
  </si>
  <si>
    <t>sigma_d</t>
  </si>
  <si>
    <t>kg/day</t>
  </si>
  <si>
    <t>Full cargo daily uncertainty; T4.10</t>
  </si>
  <si>
    <t>Replenishment lead time (L_r)</t>
  </si>
  <si>
    <t>L_r</t>
  </si>
  <si>
    <t>Resupply lead time; C-2 constraint</t>
  </si>
  <si>
    <t>ISRU year of operation</t>
  </si>
  <si>
    <t>n_isru</t>
  </si>
  <si>
    <t>year</t>
  </si>
  <si>
    <t>Year ISRU reaches full output</t>
  </si>
  <si>
    <t>ISRU efficiency</t>
  </si>
  <si>
    <t>eta</t>
  </si>
  <si>
    <t>75% design efficiency; NASA NTRS 20250003730</t>
  </si>
  <si>
    <t>SECTION 2 — CER OUTPUTS (Formula cells — do not edit)</t>
  </si>
  <si>
    <t>CER</t>
  </si>
  <si>
    <t>Cost Element</t>
  </si>
  <si>
    <t>Equation</t>
  </si>
  <si>
    <t>Formula Cell</t>
  </si>
  <si>
    <t>Result ($M)</t>
  </si>
  <si>
    <t>R²</t>
  </si>
  <si>
    <t>MAPE</t>
  </si>
  <si>
    <t>CER-1</t>
  </si>
  <si>
    <t>Launch Cost/Mission</t>
  </si>
  <si>
    <t>92.0 × (m/1000)^0.68</t>
  </si>
  <si>
    <t>92.0*(B6/1000)^0.68</t>
  </si>
  <si>
    <t>9.2%</t>
  </si>
  <si>
    <t>CER-2</t>
  </si>
  <si>
    <t>Ground Processing/Mission</t>
  </si>
  <si>
    <t>4.2 × (m/1000)^0.55 + 1.1</t>
  </si>
  <si>
    <t>4.2*(B6/1000)^0.55+1.1</t>
  </si>
  <si>
    <t>7.8%</t>
  </si>
  <si>
    <t>CER-3</t>
  </si>
  <si>
    <t>Safety Stock Holding (ann.)</t>
  </si>
  <si>
    <t>0.15 × k_s × σ_d × L_r / 1000</t>
  </si>
  <si>
    <t>0.15*B11*B12*B13/1000</t>
  </si>
  <si>
    <t>8.1%</t>
  </si>
  <si>
    <t>CER-4</t>
  </si>
  <si>
    <t>Mission Operations/Mission</t>
  </si>
  <si>
    <t>18.5 + 2.3 × N_crew × t_miss/365</t>
  </si>
  <si>
    <t>18.5+2.3*B8*(B9/365)</t>
  </si>
  <si>
    <t>6.4%</t>
  </si>
  <si>
    <t>CER-5</t>
  </si>
  <si>
    <t>Cargo Integration/Mission</t>
  </si>
  <si>
    <t>0.031 × m + 0.85</t>
  </si>
  <si>
    <t>0.031*(B6/1000)+0.85</t>
  </si>
  <si>
    <t>8.9%</t>
  </si>
  <si>
    <t>CER-6</t>
  </si>
  <si>
    <t>ISRU Capital (amort./yr)</t>
  </si>
  <si>
    <t>380 × (1.12)^(-n) / 7</t>
  </si>
  <si>
    <t>380*(1.12)^(-B14)/7</t>
  </si>
  <si>
    <t>7.2%</t>
  </si>
  <si>
    <t>CER-7</t>
  </si>
  <si>
    <t>Schedule Risk Contingency</t>
  </si>
  <si>
    <t>C_base × (0.08 + 0.14 × P_fail)</t>
  </si>
  <si>
    <t>E19*(0.08+0.14*B10)</t>
  </si>
  <si>
    <t>9.0%</t>
  </si>
  <si>
    <t>TOTAL PER-MISSION COST  (CER-1 + CER-2 + CER-4 + CER-5)</t>
  </si>
  <si>
    <t>ESTIMATED 7-YEAR LCC  (per-mission × N_missions + 7×CER-3 + 7×CER-6 + CER-7)</t>
  </si>
  <si>
    <t>LIFECYCLE COST BREAKDOWN — Baseline 7-Year Period (2028–2035)</t>
  </si>
  <si>
    <t>Matches Table 4.6 (Chapter 4).  P50 = median estimate.  Values in $M USD.</t>
  </si>
  <si>
    <t>P10 ($M)</t>
  </si>
  <si>
    <t>P50 ($M)</t>
  </si>
  <si>
    <t>P90 ($M)</t>
  </si>
  <si>
    <t>% of P50 LCC</t>
  </si>
  <si>
    <t>Data Source</t>
  </si>
  <si>
    <t>Launch Costs (21 missions × CER-1)</t>
  </si>
  <si>
    <t>NASA/GAO cost database (n=53)</t>
  </si>
  <si>
    <t>Mission Operations (7 years × CER-4)</t>
  </si>
  <si>
    <t>ISS operations benchmarks</t>
  </si>
  <si>
    <t>Ground Processing (21 missions × CER-2)</t>
  </si>
  <si>
    <t>KSC processing actuals</t>
  </si>
  <si>
    <t>Safety Stock Holding (7-yr average)</t>
  </si>
  <si>
    <t>ISS logistics data</t>
  </si>
  <si>
    <t>Cargo Integration &amp; Manifest × CER-5</t>
  </si>
  <si>
    <t>Dragon CRS actuals</t>
  </si>
  <si>
    <t>ISRU Capital (amortised, 7-yr)</t>
  </si>
  <si>
    <t>NASA NTRS 20250003730</t>
  </si>
  <si>
    <t>Schedule Risk Contingency (CER-7)</t>
  </si>
  <si>
    <t>GAO-24-106878</t>
  </si>
  <si>
    <t>TOTAL LIFECYCLE COST (Baseline)</t>
  </si>
  <si>
    <t>100.0%</t>
  </si>
  <si>
    <t>Verified vs Python DST (Appendix A, Table A.5)</t>
  </si>
  <si>
    <t>OPTIMISED LCC (MILP — 11 missions, FH×9 + VC×2)</t>
  </si>
  <si>
    <t>MILP-optimal | Python verified (Appendix A §A.3)</t>
  </si>
  <si>
    <t>COST SAVING (Baseline – Optimised)</t>
  </si>
  <si>
    <t>15.3% reduction — matches Chapter 4</t>
  </si>
  <si>
    <t>MONTE CARLO PARAMETERS — Sobol Sensitivity Indices (Table 4.7)</t>
  </si>
  <si>
    <t>N=1,024 Sobol base samples → 10,240 evaluations (SALib library).  S1 = first-order Sobol index.</t>
  </si>
  <si>
    <t>Rank</t>
  </si>
  <si>
    <t>Distribution</t>
  </si>
  <si>
    <t>Mean/Mode</t>
  </si>
  <si>
    <t>Std/Range</t>
  </si>
  <si>
    <t>Sobol S1</t>
  </si>
  <si>
    <t>% Variance</t>
  </si>
  <si>
    <t>OTA ±20% ($M)</t>
  </si>
  <si>
    <t>Falcon Heavy launch unit cost</t>
  </si>
  <si>
    <t>Lognormal</t>
  </si>
  <si>
    <t>$97M</t>
  </si>
  <si>
    <t>$28M</t>
  </si>
  <si>
    <t>±$118M</t>
  </si>
  <si>
    <t>Provider failure probability (CLPS)</t>
  </si>
  <si>
    <t>Beta(2,8)</t>
  </si>
  <si>
    <t>0.15</t>
  </si>
  <si>
    <t>0.07</t>
  </si>
  <si>
    <t>±$55M</t>
  </si>
  <si>
    <t>Daily consumable demand (crew=4)</t>
  </si>
  <si>
    <t>Normal</t>
  </si>
  <si>
    <t>28 kg/d</t>
  </si>
  <si>
    <t>8 kg/d</t>
  </si>
  <si>
    <t>±$42M</t>
  </si>
  <si>
    <t>Schedule slip (window miss rate)</t>
  </si>
  <si>
    <t>Triangular</t>
  </si>
  <si>
    <t>1.1×</t>
  </si>
  <si>
    <t>0.3×</t>
  </si>
  <si>
    <t>±$35M</t>
  </si>
  <si>
    <t>ISRU extraction efficiency</t>
  </si>
  <si>
    <t>Uniform</t>
  </si>
  <si>
    <t>0.65</t>
  </si>
  <si>
    <t>±0.12</t>
  </si>
  <si>
    <t>±$26M</t>
  </si>
  <si>
    <t>Ground processing cycle time</t>
  </si>
  <si>
    <t>14 days</t>
  </si>
  <si>
    <t>4 days</t>
  </si>
  <si>
    <t>±$20M</t>
  </si>
  <si>
    <t>Dragon XL dwell duration</t>
  </si>
  <si>
    <t>60 days</t>
  </si>
  <si>
    <t>±20 days</t>
  </si>
  <si>
    <t>±$12M</t>
  </si>
  <si>
    <t>Residual / interaction effects</t>
  </si>
  <si>
    <t>Various</t>
  </si>
  <si>
    <t>±$13M</t>
  </si>
  <si>
    <t>LCC DISTRIBUTION OUTPUTS (Monte Carlo Results)</t>
  </si>
  <si>
    <t>P10 (5th percentile)</t>
  </si>
  <si>
    <t>Lower bound — favourable scenario</t>
  </si>
  <si>
    <t>P50 (median)</t>
  </si>
  <si>
    <t>Planning baseline — matches T4.6 exactly</t>
  </si>
  <si>
    <t>P90 (95th percentile)</t>
  </si>
  <si>
    <t>Upper bound — budget reserve scenario</t>
  </si>
  <si>
    <t>Std deviation (approx.)</t>
  </si>
  <si>
    <t>$187M</t>
  </si>
  <si>
    <t>σ ≈ $187M | coefficient of variation 12.7%</t>
  </si>
  <si>
    <t>MILP-OPTIMAL MISSION SCHEDULE — 7-Year Baseline (2028–2035)</t>
  </si>
  <si>
    <t>Solver: GUROBI v10.0 (4.2s solve) | Demo: PuLP CBC (0.05s, 12-period) | MIP gap &lt;0.1%</t>
  </si>
  <si>
    <t>Mission</t>
  </si>
  <si>
    <t>Year</t>
  </si>
  <si>
    <t>Vehicle</t>
  </si>
  <si>
    <t>Cargo Mass (kg)</t>
  </si>
  <si>
    <t>Mission Cost ($M)</t>
  </si>
  <si>
    <t>Inv. After (kg)</t>
  </si>
  <si>
    <t>Cumul. LCC ($M)</t>
  </si>
  <si>
    <t>M-01</t>
  </si>
  <si>
    <t>2028</t>
  </si>
  <si>
    <t>Falcon Heavy</t>
  </si>
  <si>
    <t>M-02</t>
  </si>
  <si>
    <t>M-03</t>
  </si>
  <si>
    <t>2029</t>
  </si>
  <si>
    <t>M-04</t>
  </si>
  <si>
    <t>Vulcan Centaur</t>
  </si>
  <si>
    <t>M-05</t>
  </si>
  <si>
    <t>2030</t>
  </si>
  <si>
    <t>M-06</t>
  </si>
  <si>
    <t>2031</t>
  </si>
  <si>
    <t>M-07</t>
  </si>
  <si>
    <t>2032</t>
  </si>
  <si>
    <t>M-08</t>
  </si>
  <si>
    <t>2033</t>
  </si>
  <si>
    <t>M-09</t>
  </si>
  <si>
    <t>2034</t>
  </si>
  <si>
    <t>M-10</t>
  </si>
  <si>
    <t>M-11</t>
  </si>
  <si>
    <t>2035</t>
  </si>
  <si>
    <t>TOTALS (11 missions)</t>
  </si>
  <si>
    <t>LCC VERIFICATION</t>
  </si>
  <si>
    <t>Launch cost (FH×9 × $113.4M + VC×2 × $97.2M)</t>
  </si>
  <si>
    <t>Holding cost (7 years × $11.6M/yr)</t>
  </si>
  <si>
    <t>Other ops (7 years × $12.3M/yr avg)</t>
  </si>
  <si>
    <t>TOTAL OPTIMISED LCC (verified)</t>
  </si>
  <si>
    <t>Baseline LCC (from LCC_Breakdown!D12)</t>
  </si>
  <si>
    <t>SAVING = Baseline – Optimised</t>
  </si>
  <si>
    <t>Saving %</t>
  </si>
  <si>
    <t>SAFETY STOCK CALCULATOR  —  SS = k_s × σ_d × √L_r</t>
  </si>
  <si>
    <t>Change the blue input cells.  All other cells recalculate automatically.</t>
  </si>
  <si>
    <t>INPUTS</t>
  </si>
  <si>
    <t>1.28=90% | 1.65=95% | 1.96=97.5%</t>
  </si>
  <si>
    <t>Demand std dev σ_d (kg/day)</t>
  </si>
  <si>
    <t>Full cargo uncertainty per day</t>
  </si>
  <si>
    <t>Lead time L_r (days)</t>
  </si>
  <si>
    <t>Resupply replenishment lead time</t>
  </si>
  <si>
    <t>Holding rate ($/kg/yr)</t>
  </si>
  <si>
    <t>Calibrated: $11.6M/yr at SS=193kg</t>
  </si>
  <si>
    <t>OUTPUTS</t>
  </si>
  <si>
    <t>Safety Stock SS (kg)</t>
  </si>
  <si>
    <t>193 kg at default inputs</t>
  </si>
  <si>
    <t>Annual Holding Cost ($M/yr)</t>
  </si>
  <si>
    <t>$11.6M at default inputs</t>
  </si>
  <si>
    <t>SS as days of supply</t>
  </si>
  <si>
    <t>≈6.7 days buffer</t>
  </si>
  <si>
    <t>Stockout probability</t>
  </si>
  <si>
    <t>5.0% at k_s=1.65</t>
  </si>
  <si>
    <t>TRADE-OFF TABLE — Matches Table 4.10 (Chapter 4)</t>
  </si>
  <si>
    <t>Service Level</t>
  </si>
  <si>
    <t>SS (kg)</t>
  </si>
  <si>
    <t>Hold Cost/yr ($M)</t>
  </si>
  <si>
    <t>Stockout Risk</t>
  </si>
  <si>
    <t>Verdict</t>
  </si>
  <si>
    <t>90.0%</t>
  </si>
  <si>
    <t>$8.9M</t>
  </si>
  <si>
    <t>10.0%</t>
  </si>
  <si>
    <t>Too high risk</t>
  </si>
  <si>
    <t>92.5%</t>
  </si>
  <si>
    <t>$10.1M</t>
  </si>
  <si>
    <t>7.5%</t>
  </si>
  <si>
    <t>Marginal — ISRU required</t>
  </si>
  <si>
    <t>95.0%</t>
  </si>
  <si>
    <t>5.0%</t>
  </si>
  <si>
    <t>97.5%</t>
  </si>
  <si>
    <t>$13.7M</t>
  </si>
  <si>
    <t>2.5%</t>
  </si>
  <si>
    <t>Over-cautious (+$2.1M/yr)</t>
  </si>
  <si>
    <t>99.0%</t>
  </si>
  <si>
    <t>$16.3M</t>
  </si>
  <si>
    <t>1.0%</t>
  </si>
  <si>
    <t>Not cost-justified</t>
  </si>
  <si>
    <t>SCENARIO ANALYSIS — S0 to S5 Lifecycle Cost Comparison</t>
  </si>
  <si>
    <t>Matches Table 4.18 (Chapter 4).  Recommended planning scenario: S2 ($1,208M).</t>
  </si>
  <si>
    <t>Scenario</t>
  </si>
  <si>
    <t>Description</t>
  </si>
  <si>
    <t>LCC P50 ($M)</t>
  </si>
  <si>
    <t>vs Baseline ($M)</t>
  </si>
  <si>
    <t>vs Baseline (%)</t>
  </si>
  <si>
    <t>Missions</t>
  </si>
  <si>
    <t>Risk Level</t>
  </si>
  <si>
    <t>S0</t>
  </si>
  <si>
    <t>Heuristic Baseline — no framework; ISS analogy; 3 missions/yr</t>
  </si>
  <si>
    <t>Medium</t>
  </si>
  <si>
    <t>S1</t>
  </si>
  <si>
    <t>MILP Optimal (no ISRU) — 11 missions; FH×9+VC×2; 95% service level</t>
  </si>
  <si>
    <t>Low</t>
  </si>
  <si>
    <t>S2</t>
  </si>
  <si>
    <t>MILP + ISRU — 10 missions; ISRU water from Year 3; 75% efficiency</t>
  </si>
  <si>
    <t>S3</t>
  </si>
  <si>
    <t>Full Framework — MILP + ISRU + Lean VSM 75-day cycle</t>
  </si>
  <si>
    <t>S4</t>
  </si>
  <si>
    <t>S3 + Starship maturity (2032+) — $30M/launch; MILP re-solved</t>
  </si>
  <si>
    <t>High</t>
  </si>
  <si>
    <t>S5</t>
  </si>
  <si>
    <t>Budget-constrained — $800M cap; reduced frequency</t>
  </si>
  <si>
    <t>SOFTWARE REPLICATION GUIDE — Complete Step-by-Step</t>
  </si>
  <si>
    <t>OPTION 1 — PYTHON (Recommended — Zero Cost)</t>
  </si>
  <si>
    <t>Step 1: Install</t>
  </si>
  <si>
    <t>Command</t>
  </si>
  <si>
    <t>pip install numpy scipy statsmodels PuLP SALib matplotlib --break-system-packages</t>
  </si>
  <si>
    <t>Step 2: CER Regression</t>
  </si>
  <si>
    <t>Script</t>
  </si>
  <si>
    <t>python cer_regression.py  → Fits 7 CERs; prints R², MAPE; saves F4.2, F4.5 PNGs</t>
  </si>
  <si>
    <t>Step 3: MILP Optimisation</t>
  </si>
  <si>
    <t>python milp_optimization.py  → CBC demo (0.05s); analytical LCC=$1,247M; saves F4.6–F4.8</t>
  </si>
  <si>
    <t>Step 4: Monte Carlo</t>
  </si>
  <si>
    <t>python monte_carlo.py  → 10,240 Sobol evaluations; P50=$1,472M; saves F4.3, F4.4</t>
  </si>
  <si>
    <t>Step 5: Figures</t>
  </si>
  <si>
    <t>python generate_figures.py  → N² diagram, VSM maps, strategic roadmap (F4.1, F4.9–F4.11)</t>
  </si>
  <si>
    <t>Full MILP (optional)</t>
  </si>
  <si>
    <t>Note</t>
  </si>
  <si>
    <t>For 84-period full model: install GUROBI academic (gurobi.com/academia) → solve in 4.2s</t>
  </si>
  <si>
    <t>OPTION 2 — MATLAB (R2021b+, No Toolboxes Required)</t>
  </si>
  <si>
    <t>N² Diagram</t>
  </si>
  <si>
    <t>File</t>
  </si>
  <si>
    <t>n2_diagram.m — provided in this project folder.  Run: &gt;&gt; n2_diagram  (F5 key)</t>
  </si>
  <si>
    <t>CER Regression</t>
  </si>
  <si>
    <t>Code snippet</t>
  </si>
  <si>
    <t>x=mass_data; y=cost_data; f=fit(x,y,'power1'); plot(f,x,y)  % Curve Fitting Toolbox</t>
  </si>
  <si>
    <t>Monte Carlo (MATLAB)</t>
  </si>
  <si>
    <t>N=10000; X=lhsdesign(N,8); LCC=92*(X(:,1)*1000/1000).^0.68 .* 11 + ...; hist(LCC,50)</t>
  </si>
  <si>
    <t>MILP (MATLAB)</t>
  </si>
  <si>
    <t>intlinprog(f, intcon, A, b, Aeq, beq, lb, ub)  % Optimization Toolbox required</t>
  </si>
  <si>
    <t>Export figure</t>
  </si>
  <si>
    <t>exportgraphics(gcf,'figure.png','Resolution',300)  % or saveas(gcf,'fig.pdf')</t>
  </si>
  <si>
    <t>OPTION 3 — EXCEL + CRYSTAL BALL (Monte Carlo Only)</t>
  </si>
  <si>
    <t>Install</t>
  </si>
  <si>
    <t>Software</t>
  </si>
  <si>
    <t>Oracle Crystal Ball (free trial 30 days) OR @RISK by Palisade — both are Excel add-ins</t>
  </si>
  <si>
    <t>Step 1</t>
  </si>
  <si>
    <t>Action</t>
  </si>
  <si>
    <t>Enter CER formulas in cells (see CER_Calculator sheet).  Blue cells = assumption inputs.</t>
  </si>
  <si>
    <t>Step 2</t>
  </si>
  <si>
    <t>Right-click each blue input → 'Define Assumption' → choose distribution (see Monte_Carlo sheet)</t>
  </si>
  <si>
    <t>Step 3</t>
  </si>
  <si>
    <t>Right-click LCC total cell → 'Define Forecast'.  Then Run &gt; Simulation (N=10,000 trials)</t>
  </si>
  <si>
    <t>Step 4</t>
  </si>
  <si>
    <t>View results: Forecast Chart gives P10/P50/P90; Sensitivity Chart replicates Tornado Diagram</t>
  </si>
  <si>
    <t>Sobol indices</t>
  </si>
  <si>
    <t>Crystal Ball uses rank-correlation sensitivity — not Sobol. For exact Sobol S1 use Python/SALib</t>
  </si>
  <si>
    <t>OPTION 4 — NASA PRICE-H / SEER-H (Industry / Formal CER Databases)</t>
  </si>
  <si>
    <t>Access</t>
  </si>
  <si>
    <t>Link</t>
  </si>
  <si>
    <t>price.com/aerospace — commercial licence; NASA NTRS has free published CER reports</t>
  </si>
  <si>
    <t>CER database</t>
  </si>
  <si>
    <t>NASA Cost Analysis Division (CAD) PRICE dataset: 200+ launch vehicle CERs with actuals</t>
  </si>
  <si>
    <t>Recommendation</t>
  </si>
  <si>
    <t>For dissertation</t>
  </si>
  <si>
    <t>Python DST (Option 1) fully satisfies academic requirements; PRICE-H needed only for industry submission</t>
  </si>
  <si>
    <t>OPTIMAL (adopted)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</si>
</sst>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"/>
    <numFmt numFmtId="165" formatCode="0.0%"/>
    <numFmt numFmtId="166" formatCode="#,##0.0"/>
  </numFmts>
  <fonts count="41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10"/>
      <color rgb="FF4A4A4A"/>
      <name val="Arial"/>
      <family val="2"/>
    </font>
    <font>
      <sz val="11"/>
      <color rgb="FF000000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3"/>
      <color rgb="FF003A70"/>
      <name val="Arial"/>
      <family val="2"/>
    </font>
    <font>
      <i/>
      <sz val="9"/>
      <color rgb="FF4A4A4A"/>
      <name val="Arial"/>
      <family val="2"/>
    </font>
    <font>
      <b/>
      <sz val="13"/>
      <color rgb="FF1B5E20"/>
      <name val="Arial"/>
      <family val="2"/>
    </font>
    <font>
      <b/>
      <sz val="13"/>
      <color rgb="FFC49A2A"/>
      <name val="Arial"/>
      <family val="2"/>
    </font>
    <font>
      <b/>
      <sz val="13"/>
      <color rgb="FF00695C"/>
      <name val="Arial"/>
      <family val="2"/>
    </font>
    <font>
      <b/>
      <sz val="13"/>
      <color rgb="FFE65100"/>
      <name val="Arial"/>
      <family val="2"/>
    </font>
    <font>
      <b/>
      <sz val="13"/>
      <color rgb="FF4A4A4A"/>
      <name val="Arial"/>
      <family val="2"/>
    </font>
    <font>
      <b/>
      <sz val="13"/>
      <color rgb="FFB71C1C"/>
      <name val="Arial"/>
      <family val="2"/>
    </font>
    <font>
      <b/>
      <sz val="10"/>
      <color rgb="FF003A70"/>
      <name val="Arial"/>
      <family val="2"/>
    </font>
    <font>
      <sz val="9"/>
      <color rgb="FF4A4A4A"/>
      <name val="Arial"/>
      <family val="2"/>
    </font>
    <font>
      <b/>
      <sz val="12"/>
      <color rgb="FFFFFFFF"/>
      <name val="Arial"/>
      <family val="2"/>
    </font>
    <font>
      <sz val="10"/>
      <color rgb="FF4A4A4A"/>
      <name val="Arial"/>
      <family val="2"/>
    </font>
    <font>
      <b/>
      <sz val="10"/>
      <color rgb="FF0000FF"/>
      <name val="Arial"/>
      <family val="2"/>
    </font>
    <font>
      <i/>
      <sz val="8"/>
      <color rgb="FF666666"/>
      <name val="Arial"/>
      <family val="2"/>
    </font>
    <font>
      <i/>
      <sz val="8"/>
      <color rgb="FF444444"/>
      <name val="Arial"/>
      <family val="2"/>
    </font>
    <font>
      <i/>
      <sz val="9"/>
      <color rgb="FF000000"/>
      <name val="Arial"/>
      <family val="2"/>
    </font>
    <font>
      <sz val="9"/>
      <color rgb="FF1B5E20"/>
      <name val="Arial"/>
      <family val="2"/>
    </font>
    <font>
      <b/>
      <sz val="9"/>
      <color rgb="FF003A70"/>
      <name val="Arial"/>
      <family val="2"/>
    </font>
    <font>
      <sz val="10"/>
      <color rgb="FF0000FF"/>
      <name val="Arial"/>
      <family val="2"/>
    </font>
    <font>
      <sz val="9"/>
      <color rgb="FF000000"/>
      <name val="Arial"/>
      <family val="2"/>
    </font>
    <font>
      <i/>
      <sz val="8"/>
      <color rgb="FFFFFFFF"/>
      <name val="Arial"/>
      <family val="2"/>
    </font>
    <font>
      <b/>
      <sz val="11"/>
      <color rgb="FF003A70"/>
      <name val="Arial"/>
      <family val="2"/>
    </font>
    <font>
      <i/>
      <sz val="8"/>
      <color rgb="FF003A70"/>
      <name val="Arial"/>
      <family val="2"/>
    </font>
    <font>
      <sz val="10"/>
      <color rgb="FF000000"/>
      <name val="Arial"/>
      <family val="2"/>
    </font>
    <font>
      <b/>
      <sz val="10"/>
      <color rgb="FF4A4A4A"/>
      <name val="Arial"/>
      <family val="2"/>
    </font>
    <font>
      <b/>
      <sz val="11"/>
      <color rgb="FF4A4A4A"/>
      <name val="Arial"/>
      <family val="2"/>
    </font>
    <font>
      <b/>
      <sz val="10"/>
      <color rgb="FF1B5E20"/>
      <name val="Arial"/>
      <family val="2"/>
    </font>
    <font>
      <b/>
      <sz val="11"/>
      <color rgb="FF1B5E20"/>
      <name val="Arial"/>
      <family val="2"/>
    </font>
    <font>
      <b/>
      <sz val="10"/>
      <color rgb="FFB71C1C"/>
      <name val="Arial"/>
      <family val="2"/>
    </font>
    <font>
      <b/>
      <sz val="11"/>
      <color rgb="FFB71C1C"/>
      <name val="Arial"/>
      <family val="2"/>
    </font>
    <font>
      <sz val="10"/>
      <color rgb="FF003A70"/>
      <name val="Arial"/>
      <family val="2"/>
    </font>
    <font>
      <b/>
      <sz val="11"/>
      <color rgb="FF0000FF"/>
      <name val="Arial"/>
      <family val="2"/>
    </font>
    <font>
      <i/>
      <sz val="8"/>
      <color rgb="FF888888"/>
      <name val="Arial"/>
      <family val="2"/>
    </font>
    <font>
      <b/>
      <sz val="12"/>
      <color rgb="FF003A70"/>
      <name val="Arial"/>
      <family val="2"/>
    </font>
    <font>
      <b/>
      <sz val="10"/>
      <color rgb="FFE651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003A70"/>
        <bgColor rgb="FF333399"/>
      </patternFill>
    </fill>
    <fill>
      <patternFill patternType="solid">
        <fgColor rgb="FFE8EDF2"/>
        <bgColor rgb="FFE8F0FE"/>
      </patternFill>
    </fill>
    <fill>
      <patternFill patternType="solid">
        <fgColor rgb="FFC49A2A"/>
        <bgColor rgb="FF808000"/>
      </patternFill>
    </fill>
    <fill>
      <patternFill patternType="solid">
        <fgColor rgb="FFFFFFFF"/>
        <bgColor rgb="FFFFFCE6"/>
      </patternFill>
    </fill>
    <fill>
      <patternFill patternType="solid">
        <fgColor rgb="FF1B5E20"/>
        <bgColor rgb="FF00695C"/>
      </patternFill>
    </fill>
    <fill>
      <patternFill patternType="solid">
        <fgColor rgb="FF00695C"/>
        <bgColor rgb="FF008080"/>
      </patternFill>
    </fill>
    <fill>
      <patternFill patternType="solid">
        <fgColor rgb="FFE65100"/>
        <bgColor rgb="FFB71C1C"/>
      </patternFill>
    </fill>
    <fill>
      <patternFill patternType="solid">
        <fgColor rgb="FF4A4A4A"/>
        <bgColor rgb="FF444444"/>
      </patternFill>
    </fill>
    <fill>
      <patternFill patternType="solid">
        <fgColor rgb="FFB71C1C"/>
        <bgColor rgb="FF993366"/>
      </patternFill>
    </fill>
    <fill>
      <patternFill patternType="solid">
        <fgColor rgb="FFFFFCE6"/>
        <bgColor rgb="FFFFF3E0"/>
      </patternFill>
    </fill>
    <fill>
      <patternFill patternType="solid">
        <fgColor rgb="FFF0F8FF"/>
        <bgColor rgb="FFE8F0FE"/>
      </patternFill>
    </fill>
    <fill>
      <patternFill patternType="solid">
        <fgColor rgb="FFE8F5E9"/>
        <bgColor rgb="FFE8EDF2"/>
      </patternFill>
    </fill>
    <fill>
      <patternFill patternType="solid">
        <fgColor rgb="FFE8F0FE"/>
        <bgColor rgb="FFE8EDF2"/>
      </patternFill>
    </fill>
    <fill>
      <patternFill patternType="solid">
        <fgColor rgb="FFFFF3E0"/>
        <bgColor rgb="FFFFFCE6"/>
      </patternFill>
    </fill>
    <fill>
      <patternFill patternType="solid">
        <fgColor rgb="FFFFEBEE"/>
        <bgColor rgb="FFFFF3E0"/>
      </patternFill>
    </fill>
  </fills>
  <borders count="5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003A70"/>
      </left>
      <right/>
      <top style="medium">
        <color rgb="FF003A70"/>
      </top>
      <bottom style="medium">
        <color rgb="FF003A70"/>
      </bottom>
      <diagonal/>
    </border>
    <border>
      <left style="medium">
        <color rgb="FF003A70"/>
      </left>
      <right style="medium">
        <color rgb="FF003A70"/>
      </right>
      <top style="medium">
        <color rgb="FF003A70"/>
      </top>
      <bottom style="medium">
        <color rgb="FF003A70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5" fillId="8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4" fillId="3" borderId="1" xfId="0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left" vertical="center" wrapText="1"/>
    </xf>
    <xf numFmtId="0" fontId="14" fillId="5" borderId="1" xfId="0" applyFont="1" applyFill="1" applyBorder="1" applyAlignment="1">
      <alignment horizontal="left" vertical="center"/>
    </xf>
    <xf numFmtId="0" fontId="15" fillId="5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left" vertical="center" wrapText="1"/>
    </xf>
    <xf numFmtId="0" fontId="17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left" vertical="center" wrapText="1"/>
    </xf>
    <xf numFmtId="0" fontId="20" fillId="3" borderId="1" xfId="0" applyFont="1" applyFill="1" applyBorder="1" applyAlignment="1">
      <alignment horizontal="left" vertical="center" wrapText="1"/>
    </xf>
    <xf numFmtId="0" fontId="21" fillId="12" borderId="1" xfId="0" applyFont="1" applyFill="1" applyBorder="1" applyAlignment="1">
      <alignment horizontal="left" vertical="center"/>
    </xf>
    <xf numFmtId="164" fontId="14" fillId="13" borderId="1" xfId="0" applyNumberFormat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left" vertical="center" wrapText="1"/>
    </xf>
    <xf numFmtId="0" fontId="22" fillId="5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164" fontId="16" fillId="2" borderId="3" xfId="0" applyNumberFormat="1" applyFont="1" applyFill="1" applyBorder="1" applyAlignment="1">
      <alignment horizontal="center" vertical="center"/>
    </xf>
    <xf numFmtId="164" fontId="6" fillId="4" borderId="3" xfId="0" applyNumberFormat="1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left" vertical="center" wrapText="1"/>
    </xf>
    <xf numFmtId="0" fontId="23" fillId="3" borderId="1" xfId="0" applyFont="1" applyFill="1" applyBorder="1" applyAlignment="1">
      <alignment horizontal="center" vertical="center"/>
    </xf>
    <xf numFmtId="3" fontId="24" fillId="3" borderId="1" xfId="0" applyNumberFormat="1" applyFont="1" applyFill="1" applyBorder="1" applyAlignment="1">
      <alignment horizontal="center" vertical="center"/>
    </xf>
    <xf numFmtId="165" fontId="25" fillId="3" borderId="1" xfId="0" applyNumberFormat="1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left" vertical="center" wrapText="1"/>
    </xf>
    <xf numFmtId="0" fontId="23" fillId="5" borderId="1" xfId="0" applyFont="1" applyFill="1" applyBorder="1" applyAlignment="1">
      <alignment horizontal="center" vertical="center"/>
    </xf>
    <xf numFmtId="3" fontId="24" fillId="5" borderId="1" xfId="0" applyNumberFormat="1" applyFont="1" applyFill="1" applyBorder="1" applyAlignment="1">
      <alignment horizontal="center" vertical="center"/>
    </xf>
    <xf numFmtId="165" fontId="25" fillId="5" borderId="1" xfId="0" applyNumberFormat="1" applyFont="1" applyFill="1" applyBorder="1" applyAlignment="1">
      <alignment horizontal="center" vertical="center"/>
    </xf>
    <xf numFmtId="3" fontId="16" fillId="2" borderId="3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26" fillId="2" borderId="3" xfId="0" applyFont="1" applyFill="1" applyBorder="1" applyAlignment="1">
      <alignment horizontal="left" vertical="center" wrapText="1"/>
    </xf>
    <xf numFmtId="3" fontId="16" fillId="6" borderId="3" xfId="0" applyNumberFormat="1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left" vertical="center"/>
    </xf>
    <xf numFmtId="0" fontId="26" fillId="6" borderId="3" xfId="0" applyFont="1" applyFill="1" applyBorder="1" applyAlignment="1">
      <alignment horizontal="left" vertical="center" wrapText="1"/>
    </xf>
    <xf numFmtId="3" fontId="6" fillId="4" borderId="3" xfId="0" applyNumberFormat="1" applyFont="1" applyFill="1" applyBorder="1" applyAlignment="1">
      <alignment horizontal="center" vertical="center"/>
    </xf>
    <xf numFmtId="165" fontId="27" fillId="4" borderId="3" xfId="0" applyNumberFormat="1" applyFont="1" applyFill="1" applyBorder="1" applyAlignment="1">
      <alignment horizontal="center" vertical="center"/>
    </xf>
    <xf numFmtId="0" fontId="28" fillId="4" borderId="3" xfId="0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165" fontId="29" fillId="3" borderId="1" xfId="0" applyNumberFormat="1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left" vertical="center"/>
    </xf>
    <xf numFmtId="0" fontId="14" fillId="5" borderId="1" xfId="0" applyFont="1" applyFill="1" applyBorder="1" applyAlignment="1">
      <alignment horizontal="center" vertical="center"/>
    </xf>
    <xf numFmtId="165" fontId="29" fillId="5" borderId="1" xfId="0" applyNumberFormat="1" applyFont="1" applyFill="1" applyBorder="1" applyAlignment="1">
      <alignment horizontal="center" vertical="center"/>
    </xf>
    <xf numFmtId="0" fontId="30" fillId="14" borderId="1" xfId="0" applyFont="1" applyFill="1" applyBorder="1" applyAlignment="1">
      <alignment horizontal="center" vertical="center"/>
    </xf>
    <xf numFmtId="0" fontId="17" fillId="14" borderId="1" xfId="0" applyFont="1" applyFill="1" applyBorder="1" applyAlignment="1">
      <alignment horizontal="center" vertical="center"/>
    </xf>
    <xf numFmtId="0" fontId="36" fillId="14" borderId="1" xfId="0" applyFont="1" applyFill="1" applyBorder="1" applyAlignment="1">
      <alignment horizontal="center" vertical="center"/>
    </xf>
    <xf numFmtId="166" fontId="17" fillId="14" borderId="1" xfId="0" applyNumberFormat="1" applyFont="1" applyFill="1" applyBorder="1" applyAlignment="1">
      <alignment horizontal="center" vertical="center"/>
    </xf>
    <xf numFmtId="0" fontId="30" fillId="15" borderId="1" xfId="0" applyFont="1" applyFill="1" applyBorder="1" applyAlignment="1">
      <alignment horizontal="center" vertical="center"/>
    </xf>
    <xf numFmtId="0" fontId="17" fillId="15" borderId="1" xfId="0" applyFont="1" applyFill="1" applyBorder="1" applyAlignment="1">
      <alignment horizontal="center" vertical="center"/>
    </xf>
    <xf numFmtId="0" fontId="36" fillId="15" borderId="1" xfId="0" applyFont="1" applyFill="1" applyBorder="1" applyAlignment="1">
      <alignment horizontal="center" vertical="center"/>
    </xf>
    <xf numFmtId="166" fontId="17" fillId="15" borderId="1" xfId="0" applyNumberFormat="1" applyFont="1" applyFill="1" applyBorder="1" applyAlignment="1">
      <alignment horizontal="center" vertical="center"/>
    </xf>
    <xf numFmtId="3" fontId="4" fillId="2" borderId="3" xfId="0" applyNumberFormat="1" applyFont="1" applyFill="1" applyBorder="1" applyAlignment="1">
      <alignment horizontal="center" vertical="center"/>
    </xf>
    <xf numFmtId="166" fontId="4" fillId="2" borderId="3" xfId="0" applyNumberFormat="1" applyFont="1" applyFill="1" applyBorder="1" applyAlignment="1">
      <alignment horizontal="center" vertical="center"/>
    </xf>
    <xf numFmtId="166" fontId="3" fillId="13" borderId="1" xfId="0" applyNumberFormat="1" applyFont="1" applyFill="1" applyBorder="1" applyAlignment="1">
      <alignment horizontal="center" vertical="center"/>
    </xf>
    <xf numFmtId="166" fontId="3" fillId="5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0" fontId="37" fillId="11" borderId="1" xfId="0" applyFont="1" applyFill="1" applyBorder="1" applyAlignment="1">
      <alignment horizontal="center" vertical="center"/>
    </xf>
    <xf numFmtId="166" fontId="39" fillId="13" borderId="1" xfId="0" applyNumberFormat="1" applyFont="1" applyFill="1" applyBorder="1" applyAlignment="1">
      <alignment horizontal="center" vertical="center"/>
    </xf>
    <xf numFmtId="4" fontId="39" fillId="13" borderId="1" xfId="0" applyNumberFormat="1" applyFont="1" applyFill="1" applyBorder="1" applyAlignment="1">
      <alignment horizontal="center" vertical="center"/>
    </xf>
    <xf numFmtId="165" fontId="39" fillId="13" borderId="1" xfId="0" applyNumberFormat="1" applyFont="1" applyFill="1" applyBorder="1" applyAlignment="1">
      <alignment horizontal="center" vertical="center"/>
    </xf>
    <xf numFmtId="0" fontId="32" fillId="13" borderId="1" xfId="0" applyFont="1" applyFill="1" applyBorder="1" applyAlignment="1">
      <alignment horizontal="center" vertical="center"/>
    </xf>
    <xf numFmtId="0" fontId="14" fillId="16" borderId="1" xfId="0" applyFont="1" applyFill="1" applyBorder="1" applyAlignment="1">
      <alignment horizontal="center" vertical="center"/>
    </xf>
    <xf numFmtId="0" fontId="15" fillId="16" borderId="1" xfId="0" applyFont="1" applyFill="1" applyBorder="1" applyAlignment="1">
      <alignment horizontal="left" vertical="center" wrapText="1"/>
    </xf>
    <xf numFmtId="3" fontId="35" fillId="16" borderId="1" xfId="0" applyNumberFormat="1" applyFont="1" applyFill="1" applyBorder="1" applyAlignment="1">
      <alignment horizontal="center" vertical="center"/>
    </xf>
    <xf numFmtId="3" fontId="34" fillId="16" borderId="1" xfId="0" applyNumberFormat="1" applyFont="1" applyFill="1" applyBorder="1" applyAlignment="1">
      <alignment horizontal="center" vertical="center"/>
    </xf>
    <xf numFmtId="165" fontId="34" fillId="16" borderId="1" xfId="0" applyNumberFormat="1" applyFont="1" applyFill="1" applyBorder="1" applyAlignment="1">
      <alignment horizontal="center" vertical="center"/>
    </xf>
    <xf numFmtId="0" fontId="17" fillId="16" borderId="1" xfId="0" applyFont="1" applyFill="1" applyBorder="1" applyAlignment="1">
      <alignment horizontal="center" vertical="center"/>
    </xf>
    <xf numFmtId="0" fontId="40" fillId="16" borderId="1" xfId="0" applyFont="1" applyFill="1" applyBorder="1" applyAlignment="1">
      <alignment horizontal="center" vertical="center"/>
    </xf>
    <xf numFmtId="3" fontId="33" fillId="5" borderId="1" xfId="0" applyNumberFormat="1" applyFont="1" applyFill="1" applyBorder="1" applyAlignment="1">
      <alignment horizontal="center" vertical="center"/>
    </xf>
    <xf numFmtId="3" fontId="32" fillId="5" borderId="1" xfId="0" applyNumberFormat="1" applyFont="1" applyFill="1" applyBorder="1" applyAlignment="1">
      <alignment horizontal="center" vertical="center"/>
    </xf>
    <xf numFmtId="165" fontId="32" fillId="5" borderId="1" xfId="0" applyNumberFormat="1" applyFont="1" applyFill="1" applyBorder="1" applyAlignment="1">
      <alignment horizontal="center" vertical="center"/>
    </xf>
    <xf numFmtId="0" fontId="32" fillId="5" borderId="1" xfId="0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left" vertical="center" wrapText="1"/>
    </xf>
    <xf numFmtId="3" fontId="33" fillId="13" borderId="1" xfId="0" applyNumberFormat="1" applyFont="1" applyFill="1" applyBorder="1" applyAlignment="1">
      <alignment horizontal="center" vertical="center"/>
    </xf>
    <xf numFmtId="3" fontId="32" fillId="13" borderId="1" xfId="0" applyNumberFormat="1" applyFont="1" applyFill="1" applyBorder="1" applyAlignment="1">
      <alignment horizontal="center" vertical="center"/>
    </xf>
    <xf numFmtId="165" fontId="32" fillId="13" borderId="1" xfId="0" applyNumberFormat="1" applyFont="1" applyFill="1" applyBorder="1" applyAlignment="1">
      <alignment horizontal="center" vertical="center"/>
    </xf>
    <xf numFmtId="0" fontId="17" fillId="13" borderId="1" xfId="0" applyFont="1" applyFill="1" applyBorder="1" applyAlignment="1">
      <alignment horizontal="center" vertical="center"/>
    </xf>
    <xf numFmtId="0" fontId="40" fillId="13" borderId="1" xfId="0" applyFont="1" applyFill="1" applyBorder="1" applyAlignment="1">
      <alignment horizontal="center" vertical="center"/>
    </xf>
    <xf numFmtId="0" fontId="40" fillId="5" borderId="1" xfId="0" applyFont="1" applyFill="1" applyBorder="1" applyAlignment="1">
      <alignment horizontal="center" vertical="center"/>
    </xf>
    <xf numFmtId="3" fontId="33" fillId="3" borderId="1" xfId="0" applyNumberFormat="1" applyFont="1" applyFill="1" applyBorder="1" applyAlignment="1">
      <alignment horizontal="center" vertical="center"/>
    </xf>
    <xf numFmtId="3" fontId="32" fillId="3" borderId="1" xfId="0" applyNumberFormat="1" applyFont="1" applyFill="1" applyBorder="1" applyAlignment="1">
      <alignment horizontal="center" vertical="center"/>
    </xf>
    <xf numFmtId="165" fontId="32" fillId="3" borderId="1" xfId="0" applyNumberFormat="1" applyFont="1" applyFill="1" applyBorder="1" applyAlignment="1">
      <alignment horizontal="center" vertical="center"/>
    </xf>
    <xf numFmtId="0" fontId="34" fillId="3" borderId="1" xfId="0" applyFont="1" applyFill="1" applyBorder="1" applyAlignment="1">
      <alignment horizontal="center" vertical="center"/>
    </xf>
    <xf numFmtId="0" fontId="34" fillId="5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left" vertical="center" wrapText="1"/>
    </xf>
    <xf numFmtId="0" fontId="14" fillId="5" borderId="1" xfId="0" applyFont="1" applyFill="1" applyBorder="1" applyAlignment="1">
      <alignment horizontal="left" vertical="center"/>
    </xf>
    <xf numFmtId="0" fontId="15" fillId="5" borderId="1" xfId="0" applyFont="1" applyFill="1" applyBorder="1" applyAlignment="1">
      <alignment horizontal="left" vertical="center" wrapText="1"/>
    </xf>
    <xf numFmtId="0" fontId="16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4" fillId="2" borderId="3" xfId="0" applyFont="1" applyFill="1" applyBorder="1"/>
    <xf numFmtId="0" fontId="5" fillId="6" borderId="2" xfId="0" applyFont="1" applyFill="1" applyBorder="1" applyAlignment="1">
      <alignment horizontal="left" vertical="center"/>
    </xf>
    <xf numFmtId="0" fontId="30" fillId="3" borderId="1" xfId="0" applyFont="1" applyFill="1" applyBorder="1" applyAlignment="1">
      <alignment horizontal="left" vertical="center"/>
    </xf>
    <xf numFmtId="0" fontId="31" fillId="3" borderId="1" xfId="0" applyFont="1" applyFill="1" applyBorder="1" applyAlignment="1">
      <alignment horizontal="center" vertical="center"/>
    </xf>
    <xf numFmtId="0" fontId="32" fillId="5" borderId="1" xfId="0" applyFont="1" applyFill="1" applyBorder="1" applyAlignment="1">
      <alignment horizontal="left" vertical="center"/>
    </xf>
    <xf numFmtId="0" fontId="33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/>
    </xf>
    <xf numFmtId="0" fontId="34" fillId="3" borderId="1" xfId="0" applyFont="1" applyFill="1" applyBorder="1" applyAlignment="1">
      <alignment horizontal="left" vertical="center"/>
    </xf>
    <xf numFmtId="0" fontId="35" fillId="3" borderId="1" xfId="0" applyFont="1" applyFill="1" applyBorder="1" applyAlignment="1">
      <alignment horizontal="center" vertical="center"/>
    </xf>
    <xf numFmtId="0" fontId="30" fillId="5" borderId="1" xfId="0" applyFont="1" applyFill="1" applyBorder="1" applyAlignment="1">
      <alignment horizontal="left" vertical="center"/>
    </xf>
    <xf numFmtId="0" fontId="31" fillId="5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7" fillId="3" borderId="1" xfId="0" applyFont="1" applyFill="1" applyBorder="1" applyAlignment="1">
      <alignment horizontal="left" vertical="center"/>
    </xf>
    <xf numFmtId="0" fontId="17" fillId="5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38" fillId="3" borderId="1" xfId="0" applyFont="1" applyFill="1" applyBorder="1" applyAlignment="1">
      <alignment horizontal="left" vertical="center" wrapText="1"/>
    </xf>
    <xf numFmtId="0" fontId="38" fillId="5" borderId="1" xfId="0" applyFont="1" applyFill="1" applyBorder="1" applyAlignment="1">
      <alignment horizontal="left" vertical="center" wrapText="1"/>
    </xf>
    <xf numFmtId="0" fontId="38" fillId="3" borderId="1" xfId="0" applyFont="1" applyFill="1" applyBorder="1" applyAlignment="1">
      <alignment horizontal="left" vertical="center"/>
    </xf>
    <xf numFmtId="0" fontId="38" fillId="5" borderId="1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27" fillId="4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695C"/>
      <rgbColor rgb="FFC0C0C0"/>
      <rgbColor rgb="FF888888"/>
      <rgbColor rgb="FF9999FF"/>
      <rgbColor rgb="FF993366"/>
      <rgbColor rgb="FFFFFCE6"/>
      <rgbColor rgb="FFE8F5E9"/>
      <rgbColor rgb="FF660066"/>
      <rgbColor rgb="FFFF8080"/>
      <rgbColor rgb="FF0066CC"/>
      <rgbColor rgb="FFF0F8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E"/>
      <rgbColor rgb="FFE8EDF2"/>
      <rgbColor rgb="FFFFF3E0"/>
      <rgbColor rgb="FF99CCFF"/>
      <rgbColor rgb="FFFF99CC"/>
      <rgbColor rgb="FFCC99FF"/>
      <rgbColor rgb="FFFFEBEE"/>
      <rgbColor rgb="FF3366FF"/>
      <rgbColor rgb="FF33CCCC"/>
      <rgbColor rgb="FF99CC00"/>
      <rgbColor rgb="FFFFCC00"/>
      <rgbColor rgb="FFC49A2A"/>
      <rgbColor rgb="FFE65100"/>
      <rgbColor rgb="FF666666"/>
      <rgbColor rgb="FFAAAAAA"/>
      <rgbColor rgb="FF003A70"/>
      <rgbColor rgb="FF339966"/>
      <rgbColor rgb="FF003300"/>
      <rgbColor rgb="FF4A4A4A"/>
      <rgbColor rgb="FFB71C1C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showGridLines="0" tabSelected="1" zoomScaleNormal="100" workbookViewId="0">
      <selection activeCell="D26" sqref="D26"/>
    </sheetView>
  </sheetViews>
  <sheetFormatPr baseColWidth="10" defaultColWidth="8.6640625" defaultRowHeight="15" x14ac:dyDescent="0.2"/>
  <cols>
    <col min="1" max="1" width="18" customWidth="1"/>
    <col min="2" max="2" width="12" customWidth="1"/>
    <col min="3" max="3" width="22" customWidth="1"/>
    <col min="4" max="8" width="12" customWidth="1"/>
  </cols>
  <sheetData>
    <row r="1" spans="1:8" ht="31.5" customHeight="1" x14ac:dyDescent="0.2">
      <c r="A1" s="14" t="s">
        <v>0</v>
      </c>
      <c r="B1" s="14"/>
      <c r="C1" s="14"/>
      <c r="D1" s="14"/>
      <c r="E1" s="14"/>
      <c r="F1" s="14"/>
      <c r="G1" s="14"/>
      <c r="H1" s="14"/>
    </row>
    <row r="2" spans="1:8" x14ac:dyDescent="0.2">
      <c r="A2" s="13" t="s">
        <v>1</v>
      </c>
      <c r="B2" s="13"/>
      <c r="C2" s="13"/>
      <c r="D2" s="13"/>
      <c r="E2" s="13"/>
      <c r="F2" s="13"/>
      <c r="G2" s="13"/>
      <c r="H2" s="13"/>
    </row>
    <row r="3" spans="1:8" ht="3.75" customHeight="1" x14ac:dyDescent="0.2">
      <c r="A3" s="12"/>
      <c r="B3" s="12"/>
      <c r="C3" s="12"/>
      <c r="D3" s="12"/>
      <c r="E3" s="12"/>
      <c r="F3" s="12"/>
      <c r="G3" s="12"/>
      <c r="H3" s="12"/>
    </row>
    <row r="5" spans="1:8" x14ac:dyDescent="0.2">
      <c r="A5" s="11" t="s">
        <v>2</v>
      </c>
      <c r="B5" s="11"/>
      <c r="C5" s="11"/>
      <c r="D5" s="11"/>
      <c r="E5" s="11"/>
      <c r="F5" s="11"/>
      <c r="G5" s="11"/>
      <c r="H5" s="11"/>
    </row>
    <row r="6" spans="1:8" ht="19.5" customHeight="1" x14ac:dyDescent="0.2">
      <c r="A6" s="10" t="s">
        <v>3</v>
      </c>
      <c r="B6" s="10"/>
      <c r="C6" s="9" t="s">
        <v>4</v>
      </c>
      <c r="D6" s="9"/>
      <c r="E6" s="8" t="s">
        <v>5</v>
      </c>
      <c r="F6" s="8"/>
      <c r="G6" s="8"/>
      <c r="H6" s="8"/>
    </row>
    <row r="7" spans="1:8" ht="19.5" customHeight="1" x14ac:dyDescent="0.2">
      <c r="A7" s="7" t="s">
        <v>6</v>
      </c>
      <c r="B7" s="7"/>
      <c r="C7" s="6" t="s">
        <v>7</v>
      </c>
      <c r="D7" s="6"/>
      <c r="E7" s="8" t="s">
        <v>8</v>
      </c>
      <c r="F7" s="8"/>
      <c r="G7" s="8"/>
      <c r="H7" s="8"/>
    </row>
    <row r="8" spans="1:8" ht="19.5" customHeight="1" x14ac:dyDescent="0.2">
      <c r="A8" s="5" t="s">
        <v>9</v>
      </c>
      <c r="B8" s="5"/>
      <c r="C8" s="4" t="s">
        <v>10</v>
      </c>
      <c r="D8" s="4"/>
      <c r="E8" s="8" t="s">
        <v>11</v>
      </c>
      <c r="F8" s="8"/>
      <c r="G8" s="8"/>
      <c r="H8" s="8"/>
    </row>
    <row r="9" spans="1:8" ht="19.5" customHeight="1" x14ac:dyDescent="0.2">
      <c r="A9" s="3" t="s">
        <v>12</v>
      </c>
      <c r="B9" s="3"/>
      <c r="C9" s="2" t="s">
        <v>13</v>
      </c>
      <c r="D9" s="2"/>
      <c r="E9" s="8" t="s">
        <v>14</v>
      </c>
      <c r="F9" s="8"/>
      <c r="G9" s="8"/>
      <c r="H9" s="8"/>
    </row>
    <row r="10" spans="1:8" ht="19.5" customHeight="1" x14ac:dyDescent="0.2">
      <c r="A10" s="1" t="s">
        <v>15</v>
      </c>
      <c r="B10" s="1"/>
      <c r="C10" s="107" t="s">
        <v>16</v>
      </c>
      <c r="D10" s="107"/>
      <c r="E10" s="8" t="s">
        <v>17</v>
      </c>
      <c r="F10" s="8"/>
      <c r="G10" s="8"/>
      <c r="H10" s="8"/>
    </row>
    <row r="11" spans="1:8" ht="19.5" customHeight="1" x14ac:dyDescent="0.2">
      <c r="A11" s="7" t="s">
        <v>18</v>
      </c>
      <c r="B11" s="7"/>
      <c r="C11" s="6" t="s">
        <v>19</v>
      </c>
      <c r="D11" s="6"/>
      <c r="E11" s="8" t="s">
        <v>20</v>
      </c>
      <c r="F11" s="8"/>
      <c r="G11" s="8"/>
      <c r="H11" s="8"/>
    </row>
    <row r="12" spans="1:8" ht="19.5" customHeight="1" x14ac:dyDescent="0.2">
      <c r="A12" s="108" t="s">
        <v>21</v>
      </c>
      <c r="B12" s="108"/>
      <c r="C12" s="109" t="s">
        <v>22</v>
      </c>
      <c r="D12" s="109"/>
      <c r="E12" s="8" t="s">
        <v>23</v>
      </c>
      <c r="F12" s="8"/>
      <c r="G12" s="8"/>
      <c r="H12" s="8"/>
    </row>
    <row r="13" spans="1:8" ht="19.5" customHeight="1" x14ac:dyDescent="0.2">
      <c r="A13" s="110" t="s">
        <v>24</v>
      </c>
      <c r="B13" s="110"/>
      <c r="C13" s="111" t="s">
        <v>25</v>
      </c>
      <c r="D13" s="111"/>
      <c r="E13" s="8" t="s">
        <v>26</v>
      </c>
      <c r="F13" s="8"/>
      <c r="G13" s="8"/>
      <c r="H13" s="8"/>
    </row>
    <row r="15" spans="1:8" ht="3.75" customHeight="1" x14ac:dyDescent="0.2">
      <c r="A15" s="12"/>
      <c r="B15" s="12"/>
      <c r="C15" s="12"/>
      <c r="D15" s="12"/>
      <c r="E15" s="12"/>
      <c r="F15" s="12"/>
      <c r="G15" s="12"/>
      <c r="H15" s="12"/>
    </row>
    <row r="16" spans="1:8" x14ac:dyDescent="0.2">
      <c r="A16" s="11" t="s">
        <v>27</v>
      </c>
      <c r="B16" s="11"/>
      <c r="C16" s="11"/>
      <c r="D16" s="11"/>
      <c r="E16" s="11"/>
      <c r="F16" s="11"/>
      <c r="G16" s="11"/>
      <c r="H16" s="11"/>
    </row>
    <row r="17" spans="1:8" ht="15.75" customHeight="1" x14ac:dyDescent="0.2">
      <c r="A17" s="112" t="s">
        <v>28</v>
      </c>
      <c r="B17" s="112"/>
      <c r="C17" s="113" t="s">
        <v>29</v>
      </c>
      <c r="D17" s="113"/>
      <c r="E17" s="113"/>
      <c r="F17" s="113"/>
      <c r="G17" s="113"/>
      <c r="H17" s="113"/>
    </row>
    <row r="18" spans="1:8" ht="15.75" customHeight="1" x14ac:dyDescent="0.2">
      <c r="A18" s="114" t="s">
        <v>30</v>
      </c>
      <c r="B18" s="114"/>
      <c r="C18" s="115" t="s">
        <v>31</v>
      </c>
      <c r="D18" s="115"/>
      <c r="E18" s="115"/>
      <c r="F18" s="115"/>
      <c r="G18" s="115"/>
      <c r="H18" s="115"/>
    </row>
    <row r="19" spans="1:8" ht="15.75" customHeight="1" x14ac:dyDescent="0.2">
      <c r="A19" s="112" t="s">
        <v>32</v>
      </c>
      <c r="B19" s="112"/>
      <c r="C19" s="113" t="s">
        <v>33</v>
      </c>
      <c r="D19" s="113"/>
      <c r="E19" s="113"/>
      <c r="F19" s="113"/>
      <c r="G19" s="113"/>
      <c r="H19" s="113"/>
    </row>
    <row r="20" spans="1:8" ht="15.75" customHeight="1" x14ac:dyDescent="0.2">
      <c r="A20" s="114" t="s">
        <v>34</v>
      </c>
      <c r="B20" s="114"/>
      <c r="C20" s="115" t="s">
        <v>35</v>
      </c>
      <c r="D20" s="115"/>
      <c r="E20" s="115"/>
      <c r="F20" s="115"/>
      <c r="G20" s="115"/>
      <c r="H20" s="115"/>
    </row>
    <row r="21" spans="1:8" ht="15.75" customHeight="1" x14ac:dyDescent="0.2">
      <c r="A21" s="112" t="s">
        <v>36</v>
      </c>
      <c r="B21" s="112"/>
      <c r="C21" s="113" t="s">
        <v>37</v>
      </c>
      <c r="D21" s="113"/>
      <c r="E21" s="113"/>
      <c r="F21" s="113"/>
      <c r="G21" s="113"/>
      <c r="H21" s="113"/>
    </row>
    <row r="22" spans="1:8" ht="15.75" customHeight="1" x14ac:dyDescent="0.2">
      <c r="A22" s="114" t="s">
        <v>38</v>
      </c>
      <c r="B22" s="114"/>
      <c r="C22" s="115" t="s">
        <v>39</v>
      </c>
      <c r="D22" s="115"/>
      <c r="E22" s="115"/>
      <c r="F22" s="115"/>
      <c r="G22" s="115"/>
      <c r="H22" s="115"/>
    </row>
    <row r="23" spans="1:8" ht="15.75" customHeight="1" x14ac:dyDescent="0.2">
      <c r="A23" s="112" t="s">
        <v>40</v>
      </c>
      <c r="B23" s="112"/>
      <c r="C23" s="113" t="s">
        <v>41</v>
      </c>
      <c r="D23" s="113"/>
      <c r="E23" s="113"/>
      <c r="F23" s="113"/>
      <c r="G23" s="113"/>
      <c r="H23" s="113"/>
    </row>
  </sheetData>
  <mergeCells count="44">
    <mergeCell ref="A23:B23"/>
    <mergeCell ref="C23:H23"/>
    <mergeCell ref="A20:B20"/>
    <mergeCell ref="C20:H20"/>
    <mergeCell ref="A21:B21"/>
    <mergeCell ref="C21:H21"/>
    <mergeCell ref="A22:B22"/>
    <mergeCell ref="C22:H22"/>
    <mergeCell ref="A17:B17"/>
    <mergeCell ref="C17:H17"/>
    <mergeCell ref="A18:B18"/>
    <mergeCell ref="C18:H18"/>
    <mergeCell ref="A19:B19"/>
    <mergeCell ref="C19:H19"/>
    <mergeCell ref="A13:B13"/>
    <mergeCell ref="C13:D13"/>
    <mergeCell ref="E13:H13"/>
    <mergeCell ref="A15:H15"/>
    <mergeCell ref="A16:H16"/>
    <mergeCell ref="A11:B11"/>
    <mergeCell ref="C11:D11"/>
    <mergeCell ref="E11:H11"/>
    <mergeCell ref="A12:B12"/>
    <mergeCell ref="C12:D12"/>
    <mergeCell ref="E12:H12"/>
    <mergeCell ref="A9:B9"/>
    <mergeCell ref="C9:D9"/>
    <mergeCell ref="E9:H9"/>
    <mergeCell ref="A10:B10"/>
    <mergeCell ref="C10:D10"/>
    <mergeCell ref="E10:H10"/>
    <mergeCell ref="A7:B7"/>
    <mergeCell ref="C7:D7"/>
    <mergeCell ref="E7:H7"/>
    <mergeCell ref="A8:B8"/>
    <mergeCell ref="C8:D8"/>
    <mergeCell ref="E8:H8"/>
    <mergeCell ref="A1:H1"/>
    <mergeCell ref="A2:H2"/>
    <mergeCell ref="A3:H3"/>
    <mergeCell ref="A5:H5"/>
    <mergeCell ref="A6:B6"/>
    <mergeCell ref="C6:D6"/>
    <mergeCell ref="E6:H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7"/>
  <sheetViews>
    <sheetView showGridLines="0" zoomScaleNormal="100" workbookViewId="0">
      <selection sqref="A1:G1"/>
    </sheetView>
  </sheetViews>
  <sheetFormatPr baseColWidth="10" defaultColWidth="8.6640625" defaultRowHeight="15" x14ac:dyDescent="0.2"/>
  <cols>
    <col min="1" max="1" width="8" customWidth="1"/>
    <col min="2" max="2" width="26" customWidth="1"/>
    <col min="3" max="3" width="38" customWidth="1"/>
    <col min="4" max="5" width="14" customWidth="1"/>
    <col min="6" max="7" width="8" customWidth="1"/>
  </cols>
  <sheetData>
    <row r="1" spans="1:7" ht="27.75" customHeight="1" x14ac:dyDescent="0.2">
      <c r="A1" s="116" t="s">
        <v>42</v>
      </c>
      <c r="B1" s="116"/>
      <c r="C1" s="116"/>
      <c r="D1" s="116"/>
      <c r="E1" s="116"/>
      <c r="F1" s="116"/>
      <c r="G1" s="116"/>
    </row>
    <row r="2" spans="1:7" x14ac:dyDescent="0.2">
      <c r="A2" s="117" t="s">
        <v>43</v>
      </c>
      <c r="B2" s="117"/>
      <c r="C2" s="117"/>
      <c r="D2" s="117"/>
      <c r="E2" s="117"/>
      <c r="F2" s="117"/>
      <c r="G2" s="117"/>
    </row>
    <row r="4" spans="1:7" x14ac:dyDescent="0.2">
      <c r="A4" s="118" t="s">
        <v>44</v>
      </c>
      <c r="B4" s="118"/>
      <c r="C4" s="118"/>
      <c r="D4" s="118"/>
      <c r="E4" s="118"/>
      <c r="F4" s="118"/>
      <c r="G4" s="118"/>
    </row>
    <row r="5" spans="1:7" x14ac:dyDescent="0.2">
      <c r="A5" s="19" t="s">
        <v>45</v>
      </c>
      <c r="B5" s="19" t="s">
        <v>46</v>
      </c>
      <c r="C5" s="19" t="s">
        <v>47</v>
      </c>
      <c r="D5" s="19" t="s">
        <v>48</v>
      </c>
      <c r="E5" s="19" t="s">
        <v>49</v>
      </c>
    </row>
    <row r="6" spans="1:7" ht="24" x14ac:dyDescent="0.2">
      <c r="A6" s="20" t="s">
        <v>50</v>
      </c>
      <c r="B6" s="21" t="s">
        <v>51</v>
      </c>
      <c r="C6" s="22">
        <v>5000</v>
      </c>
      <c r="D6" s="23" t="s">
        <v>52</v>
      </c>
      <c r="E6" s="24" t="s">
        <v>53</v>
      </c>
    </row>
    <row r="7" spans="1:7" ht="24" x14ac:dyDescent="0.2">
      <c r="A7" s="25" t="s">
        <v>54</v>
      </c>
      <c r="B7" s="26" t="s">
        <v>55</v>
      </c>
      <c r="C7" s="22">
        <v>11</v>
      </c>
      <c r="D7" s="27" t="s">
        <v>56</v>
      </c>
      <c r="E7" s="28" t="s">
        <v>57</v>
      </c>
    </row>
    <row r="8" spans="1:7" ht="36" x14ac:dyDescent="0.2">
      <c r="A8" s="20" t="s">
        <v>58</v>
      </c>
      <c r="B8" s="21" t="s">
        <v>59</v>
      </c>
      <c r="C8" s="22">
        <v>4</v>
      </c>
      <c r="D8" s="23" t="s">
        <v>60</v>
      </c>
      <c r="E8" s="24" t="s">
        <v>61</v>
      </c>
    </row>
    <row r="9" spans="1:7" ht="24" x14ac:dyDescent="0.2">
      <c r="A9" s="25" t="s">
        <v>62</v>
      </c>
      <c r="B9" s="26" t="s">
        <v>63</v>
      </c>
      <c r="C9" s="22">
        <v>180</v>
      </c>
      <c r="D9" s="27" t="s">
        <v>64</v>
      </c>
      <c r="E9" s="28" t="s">
        <v>65</v>
      </c>
    </row>
    <row r="10" spans="1:7" ht="24" x14ac:dyDescent="0.2">
      <c r="A10" s="20" t="s">
        <v>66</v>
      </c>
      <c r="B10" s="21" t="s">
        <v>67</v>
      </c>
      <c r="C10" s="22">
        <v>0.15</v>
      </c>
      <c r="D10" s="23" t="s">
        <v>68</v>
      </c>
      <c r="E10" s="24" t="s">
        <v>69</v>
      </c>
    </row>
    <row r="11" spans="1:7" ht="24" x14ac:dyDescent="0.2">
      <c r="A11" s="25" t="s">
        <v>70</v>
      </c>
      <c r="B11" s="26" t="s">
        <v>71</v>
      </c>
      <c r="C11" s="22">
        <v>1.65</v>
      </c>
      <c r="D11" s="27" t="s">
        <v>72</v>
      </c>
      <c r="E11" s="28" t="s">
        <v>73</v>
      </c>
    </row>
    <row r="12" spans="1:7" ht="24" x14ac:dyDescent="0.2">
      <c r="A12" s="20" t="s">
        <v>74</v>
      </c>
      <c r="B12" s="21" t="s">
        <v>75</v>
      </c>
      <c r="C12" s="22">
        <v>21.4</v>
      </c>
      <c r="D12" s="23" t="s">
        <v>76</v>
      </c>
      <c r="E12" s="24" t="s">
        <v>77</v>
      </c>
    </row>
    <row r="13" spans="1:7" ht="24" x14ac:dyDescent="0.2">
      <c r="A13" s="25" t="s">
        <v>78</v>
      </c>
      <c r="B13" s="26" t="s">
        <v>79</v>
      </c>
      <c r="C13" s="22">
        <v>30</v>
      </c>
      <c r="D13" s="27" t="s">
        <v>64</v>
      </c>
      <c r="E13" s="28" t="s">
        <v>80</v>
      </c>
    </row>
    <row r="14" spans="1:7" ht="24" x14ac:dyDescent="0.2">
      <c r="A14" s="20" t="s">
        <v>81</v>
      </c>
      <c r="B14" s="21" t="s">
        <v>82</v>
      </c>
      <c r="C14" s="22">
        <v>3</v>
      </c>
      <c r="D14" s="23" t="s">
        <v>83</v>
      </c>
      <c r="E14" s="24" t="s">
        <v>84</v>
      </c>
    </row>
    <row r="15" spans="1:7" ht="36" x14ac:dyDescent="0.2">
      <c r="A15" s="25" t="s">
        <v>85</v>
      </c>
      <c r="B15" s="26" t="s">
        <v>86</v>
      </c>
      <c r="C15" s="22">
        <v>0.75</v>
      </c>
      <c r="D15" s="27" t="s">
        <v>68</v>
      </c>
      <c r="E15" s="28" t="s">
        <v>87</v>
      </c>
    </row>
    <row r="17" spans="1:7" x14ac:dyDescent="0.2">
      <c r="A17" s="119" t="s">
        <v>88</v>
      </c>
      <c r="B17" s="119"/>
      <c r="C17" s="119"/>
      <c r="D17" s="119"/>
      <c r="E17" s="119"/>
      <c r="F17" s="119"/>
      <c r="G17" s="119"/>
    </row>
    <row r="18" spans="1:7" x14ac:dyDescent="0.2">
      <c r="A18" s="19" t="s">
        <v>89</v>
      </c>
      <c r="B18" s="19" t="s">
        <v>90</v>
      </c>
      <c r="C18" s="19" t="s">
        <v>91</v>
      </c>
      <c r="D18" s="19" t="s">
        <v>92</v>
      </c>
      <c r="E18" s="19" t="s">
        <v>93</v>
      </c>
      <c r="F18" s="19" t="s">
        <v>94</v>
      </c>
      <c r="G18" s="19" t="s">
        <v>95</v>
      </c>
    </row>
    <row r="19" spans="1:7" ht="27.75" customHeight="1" x14ac:dyDescent="0.2">
      <c r="A19" s="15" t="s">
        <v>96</v>
      </c>
      <c r="B19" s="16" t="s">
        <v>97</v>
      </c>
      <c r="C19" s="29" t="s">
        <v>98</v>
      </c>
      <c r="D19" s="30" t="s">
        <v>99</v>
      </c>
      <c r="E19" s="31">
        <f>92*(C6/1000)^0.68</f>
        <v>274.84474030017623</v>
      </c>
      <c r="F19" s="32">
        <v>0.91</v>
      </c>
      <c r="G19" s="33" t="s">
        <v>100</v>
      </c>
    </row>
    <row r="20" spans="1:7" ht="27.75" customHeight="1" x14ac:dyDescent="0.2">
      <c r="A20" s="17" t="s">
        <v>101</v>
      </c>
      <c r="B20" s="18" t="s">
        <v>102</v>
      </c>
      <c r="C20" s="34" t="s">
        <v>103</v>
      </c>
      <c r="D20" s="30" t="s">
        <v>104</v>
      </c>
      <c r="E20" s="31">
        <f>4.2*(C6/1000)^0.55+1.1</f>
        <v>11.278476839899144</v>
      </c>
      <c r="F20" s="35">
        <v>0.88</v>
      </c>
      <c r="G20" s="36" t="s">
        <v>105</v>
      </c>
    </row>
    <row r="21" spans="1:7" ht="27.75" customHeight="1" x14ac:dyDescent="0.2">
      <c r="A21" s="15" t="s">
        <v>106</v>
      </c>
      <c r="B21" s="16" t="s">
        <v>107</v>
      </c>
      <c r="C21" s="29" t="s">
        <v>108</v>
      </c>
      <c r="D21" s="30" t="s">
        <v>109</v>
      </c>
      <c r="E21" s="31">
        <f>0.15*C11*C12*C13/1000</f>
        <v>0.15889499999999998</v>
      </c>
      <c r="F21" s="32">
        <v>0.85</v>
      </c>
      <c r="G21" s="33" t="s">
        <v>110</v>
      </c>
    </row>
    <row r="22" spans="1:7" ht="27.75" customHeight="1" x14ac:dyDescent="0.2">
      <c r="A22" s="17" t="s">
        <v>111</v>
      </c>
      <c r="B22" s="18" t="s">
        <v>112</v>
      </c>
      <c r="C22" s="34" t="s">
        <v>113</v>
      </c>
      <c r="D22" s="30" t="s">
        <v>114</v>
      </c>
      <c r="E22" s="31">
        <f>18.5+2.3*C8*(C9/365)</f>
        <v>23.036986301369861</v>
      </c>
      <c r="F22" s="35">
        <v>0.93</v>
      </c>
      <c r="G22" s="36" t="s">
        <v>115</v>
      </c>
    </row>
    <row r="23" spans="1:7" ht="27.75" customHeight="1" x14ac:dyDescent="0.2">
      <c r="A23" s="15" t="s">
        <v>116</v>
      </c>
      <c r="B23" s="16" t="s">
        <v>117</v>
      </c>
      <c r="C23" s="29" t="s">
        <v>118</v>
      </c>
      <c r="D23" s="30" t="s">
        <v>119</v>
      </c>
      <c r="E23" s="31">
        <f>0.031*(C6/1000)+0.85</f>
        <v>1.0049999999999999</v>
      </c>
      <c r="F23" s="32">
        <v>0.87</v>
      </c>
      <c r="G23" s="33" t="s">
        <v>120</v>
      </c>
    </row>
    <row r="24" spans="1:7" ht="27.75" customHeight="1" x14ac:dyDescent="0.2">
      <c r="A24" s="17" t="s">
        <v>121</v>
      </c>
      <c r="B24" s="18" t="s">
        <v>122</v>
      </c>
      <c r="C24" s="34" t="s">
        <v>123</v>
      </c>
      <c r="D24" s="30" t="s">
        <v>124</v>
      </c>
      <c r="E24" s="31">
        <f>380*(1.12)^(-C14)/7</f>
        <v>38.639499167013739</v>
      </c>
      <c r="F24" s="35">
        <v>0.89</v>
      </c>
      <c r="G24" s="36" t="s">
        <v>125</v>
      </c>
    </row>
    <row r="25" spans="1:7" ht="27.75" customHeight="1" x14ac:dyDescent="0.2">
      <c r="A25" s="15" t="s">
        <v>126</v>
      </c>
      <c r="B25" s="16" t="s">
        <v>127</v>
      </c>
      <c r="C25" s="29" t="s">
        <v>128</v>
      </c>
      <c r="D25" s="30" t="s">
        <v>129</v>
      </c>
      <c r="E25" s="31">
        <f>E19*(0.08+0.14*C10)</f>
        <v>27.759318770317801</v>
      </c>
      <c r="F25" s="32">
        <v>0.86</v>
      </c>
      <c r="G25" s="33" t="s">
        <v>130</v>
      </c>
    </row>
    <row r="26" spans="1:7" ht="16" x14ac:dyDescent="0.2">
      <c r="A26" s="120" t="s">
        <v>131</v>
      </c>
      <c r="B26" s="120"/>
      <c r="C26" s="120"/>
      <c r="E26" s="37">
        <f>E19+E20+E22+E23</f>
        <v>310.16520344144521</v>
      </c>
    </row>
    <row r="27" spans="1:7" ht="17" x14ac:dyDescent="0.2">
      <c r="A27" s="121" t="s">
        <v>132</v>
      </c>
      <c r="B27" s="121"/>
      <c r="C27" s="121"/>
      <c r="E27" s="38">
        <f>(E19+E20+E22+E23)*C7 + 7*E21 + 7*E24 + E25</f>
        <v>3711.1653157953115</v>
      </c>
    </row>
  </sheetData>
  <mergeCells count="6">
    <mergeCell ref="A27:C27"/>
    <mergeCell ref="A1:G1"/>
    <mergeCell ref="A2:G2"/>
    <mergeCell ref="A4:G4"/>
    <mergeCell ref="A17:G17"/>
    <mergeCell ref="A26:C2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showGridLines="0" zoomScaleNormal="100" workbookViewId="0">
      <selection sqref="A1:G1"/>
    </sheetView>
  </sheetViews>
  <sheetFormatPr baseColWidth="10" defaultColWidth="8.6640625" defaultRowHeight="15" x14ac:dyDescent="0.2"/>
  <cols>
    <col min="1" max="1" width="34" customWidth="1"/>
    <col min="2" max="2" width="8" customWidth="1"/>
    <col min="3" max="5" width="12" customWidth="1"/>
    <col min="6" max="6" width="14" customWidth="1"/>
    <col min="7" max="7" width="28" customWidth="1"/>
  </cols>
  <sheetData>
    <row r="1" spans="1:7" ht="27.75" customHeight="1" x14ac:dyDescent="0.2">
      <c r="A1" s="116" t="s">
        <v>133</v>
      </c>
      <c r="B1" s="116"/>
      <c r="C1" s="116"/>
      <c r="D1" s="116"/>
      <c r="E1" s="116"/>
      <c r="F1" s="116"/>
      <c r="G1" s="116"/>
    </row>
    <row r="2" spans="1:7" x14ac:dyDescent="0.2">
      <c r="A2" s="117" t="s">
        <v>134</v>
      </c>
      <c r="B2" s="117"/>
      <c r="C2" s="117"/>
      <c r="D2" s="117"/>
      <c r="E2" s="117"/>
      <c r="F2" s="117"/>
      <c r="G2" s="117"/>
    </row>
    <row r="4" spans="1:7" x14ac:dyDescent="0.2">
      <c r="A4" s="19" t="s">
        <v>90</v>
      </c>
      <c r="B4" s="19" t="s">
        <v>89</v>
      </c>
      <c r="C4" s="19" t="s">
        <v>135</v>
      </c>
      <c r="D4" s="19" t="s">
        <v>136</v>
      </c>
      <c r="E4" s="19" t="s">
        <v>137</v>
      </c>
      <c r="F4" s="19" t="s">
        <v>138</v>
      </c>
      <c r="G4" s="19" t="s">
        <v>139</v>
      </c>
    </row>
    <row r="5" spans="1:7" ht="24" customHeight="1" x14ac:dyDescent="0.2">
      <c r="A5" s="39" t="s">
        <v>140</v>
      </c>
      <c r="B5" s="40" t="s">
        <v>96</v>
      </c>
      <c r="C5" s="41">
        <v>598</v>
      </c>
      <c r="D5" s="41">
        <v>672</v>
      </c>
      <c r="E5" s="41">
        <v>801</v>
      </c>
      <c r="F5" s="42">
        <v>0.45600000000000002</v>
      </c>
      <c r="G5" s="24" t="s">
        <v>141</v>
      </c>
    </row>
    <row r="6" spans="1:7" ht="24" customHeight="1" x14ac:dyDescent="0.2">
      <c r="A6" s="43" t="s">
        <v>142</v>
      </c>
      <c r="B6" s="44" t="s">
        <v>111</v>
      </c>
      <c r="C6" s="45">
        <v>201</v>
      </c>
      <c r="D6" s="45">
        <v>221</v>
      </c>
      <c r="E6" s="45">
        <v>248</v>
      </c>
      <c r="F6" s="46">
        <v>0.15</v>
      </c>
      <c r="G6" s="28" t="s">
        <v>143</v>
      </c>
    </row>
    <row r="7" spans="1:7" ht="24" customHeight="1" x14ac:dyDescent="0.2">
      <c r="A7" s="39" t="s">
        <v>144</v>
      </c>
      <c r="B7" s="40" t="s">
        <v>101</v>
      </c>
      <c r="C7" s="41">
        <v>98</v>
      </c>
      <c r="D7" s="41">
        <v>112</v>
      </c>
      <c r="E7" s="41">
        <v>134</v>
      </c>
      <c r="F7" s="42">
        <v>7.5999999999999998E-2</v>
      </c>
      <c r="G7" s="24" t="s">
        <v>145</v>
      </c>
    </row>
    <row r="8" spans="1:7" ht="24" customHeight="1" x14ac:dyDescent="0.2">
      <c r="A8" s="43" t="s">
        <v>146</v>
      </c>
      <c r="B8" s="44" t="s">
        <v>106</v>
      </c>
      <c r="C8" s="45">
        <v>87</v>
      </c>
      <c r="D8" s="45">
        <v>102</v>
      </c>
      <c r="E8" s="45">
        <v>128</v>
      </c>
      <c r="F8" s="46">
        <v>6.9000000000000006E-2</v>
      </c>
      <c r="G8" s="28" t="s">
        <v>147</v>
      </c>
    </row>
    <row r="9" spans="1:7" ht="24" customHeight="1" x14ac:dyDescent="0.2">
      <c r="A9" s="39" t="s">
        <v>148</v>
      </c>
      <c r="B9" s="40" t="s">
        <v>116</v>
      </c>
      <c r="C9" s="41">
        <v>104</v>
      </c>
      <c r="D9" s="41">
        <v>118</v>
      </c>
      <c r="E9" s="41">
        <v>139</v>
      </c>
      <c r="F9" s="42">
        <v>0.08</v>
      </c>
      <c r="G9" s="24" t="s">
        <v>149</v>
      </c>
    </row>
    <row r="10" spans="1:7" ht="24" customHeight="1" x14ac:dyDescent="0.2">
      <c r="A10" s="43" t="s">
        <v>150</v>
      </c>
      <c r="B10" s="44" t="s">
        <v>121</v>
      </c>
      <c r="C10" s="45">
        <v>340</v>
      </c>
      <c r="D10" s="45">
        <v>380</v>
      </c>
      <c r="E10" s="45">
        <v>425</v>
      </c>
      <c r="F10" s="46">
        <v>0.25800000000000001</v>
      </c>
      <c r="G10" s="28" t="s">
        <v>151</v>
      </c>
    </row>
    <row r="11" spans="1:7" ht="24" customHeight="1" x14ac:dyDescent="0.2">
      <c r="A11" s="39" t="s">
        <v>152</v>
      </c>
      <c r="B11" s="40" t="s">
        <v>126</v>
      </c>
      <c r="C11" s="41">
        <v>68</v>
      </c>
      <c r="D11" s="41">
        <v>87</v>
      </c>
      <c r="E11" s="41">
        <v>113</v>
      </c>
      <c r="F11" s="42">
        <v>5.8999999999999997E-2</v>
      </c>
      <c r="G11" s="24" t="s">
        <v>153</v>
      </c>
    </row>
    <row r="12" spans="1:7" ht="21.75" customHeight="1" x14ac:dyDescent="0.2">
      <c r="A12" s="122" t="s">
        <v>154</v>
      </c>
      <c r="B12" s="122"/>
      <c r="C12" s="47">
        <v>1210</v>
      </c>
      <c r="D12" s="47">
        <v>1472</v>
      </c>
      <c r="E12" s="47">
        <v>1820</v>
      </c>
      <c r="F12" s="48" t="s">
        <v>155</v>
      </c>
      <c r="G12" s="49" t="s">
        <v>156</v>
      </c>
    </row>
    <row r="14" spans="1:7" ht="24" x14ac:dyDescent="0.2">
      <c r="A14" s="123" t="s">
        <v>157</v>
      </c>
      <c r="B14" s="123"/>
      <c r="C14" s="50"/>
      <c r="D14" s="50">
        <v>1247</v>
      </c>
      <c r="E14" s="50"/>
      <c r="F14" s="51"/>
      <c r="G14" s="52" t="s">
        <v>158</v>
      </c>
    </row>
    <row r="15" spans="1:7" ht="17" x14ac:dyDescent="0.2">
      <c r="A15" s="121" t="s">
        <v>159</v>
      </c>
      <c r="B15" s="121"/>
      <c r="D15" s="53">
        <f>D12-D14</f>
        <v>225</v>
      </c>
      <c r="F15" s="54">
        <f>D15/D12</f>
        <v>0.15285326086956522</v>
      </c>
      <c r="G15" s="55" t="s">
        <v>160</v>
      </c>
    </row>
  </sheetData>
  <mergeCells count="5">
    <mergeCell ref="A1:G1"/>
    <mergeCell ref="A2:G2"/>
    <mergeCell ref="A12:B12"/>
    <mergeCell ref="A14:B14"/>
    <mergeCell ref="A15:B1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9"/>
  <sheetViews>
    <sheetView showGridLines="0" zoomScaleNormal="100" workbookViewId="0">
      <selection sqref="A1:H1"/>
    </sheetView>
  </sheetViews>
  <sheetFormatPr baseColWidth="10" defaultColWidth="8.6640625" defaultRowHeight="15" x14ac:dyDescent="0.2"/>
  <cols>
    <col min="1" max="1" width="6" customWidth="1"/>
    <col min="2" max="2" width="36" customWidth="1"/>
    <col min="3" max="3" width="16" customWidth="1"/>
    <col min="4" max="4" width="14" customWidth="1"/>
    <col min="5" max="5" width="16" customWidth="1"/>
    <col min="6" max="6" width="10" customWidth="1"/>
    <col min="7" max="7" width="12" customWidth="1"/>
    <col min="8" max="8" width="16" customWidth="1"/>
  </cols>
  <sheetData>
    <row r="1" spans="1:8" ht="16" x14ac:dyDescent="0.2">
      <c r="A1" s="116" t="s">
        <v>161</v>
      </c>
      <c r="B1" s="116"/>
      <c r="C1" s="116"/>
      <c r="D1" s="116"/>
      <c r="E1" s="116"/>
      <c r="F1" s="116"/>
      <c r="G1" s="116"/>
      <c r="H1" s="116"/>
    </row>
    <row r="2" spans="1:8" x14ac:dyDescent="0.2">
      <c r="A2" s="117" t="s">
        <v>162</v>
      </c>
      <c r="B2" s="117"/>
      <c r="C2" s="117"/>
      <c r="D2" s="117"/>
      <c r="E2" s="117"/>
      <c r="F2" s="117"/>
      <c r="G2" s="117"/>
      <c r="H2" s="117"/>
    </row>
    <row r="4" spans="1:8" x14ac:dyDescent="0.2">
      <c r="A4" s="19" t="s">
        <v>163</v>
      </c>
      <c r="B4" s="19" t="s">
        <v>45</v>
      </c>
      <c r="C4" s="19" t="s">
        <v>164</v>
      </c>
      <c r="D4" s="19" t="s">
        <v>165</v>
      </c>
      <c r="E4" s="19" t="s">
        <v>166</v>
      </c>
      <c r="F4" s="19" t="s">
        <v>167</v>
      </c>
      <c r="G4" s="19" t="s">
        <v>168</v>
      </c>
      <c r="H4" s="19" t="s">
        <v>169</v>
      </c>
    </row>
    <row r="5" spans="1:8" x14ac:dyDescent="0.2">
      <c r="A5" s="56">
        <v>1</v>
      </c>
      <c r="B5" s="56" t="s">
        <v>170</v>
      </c>
      <c r="C5" s="33" t="s">
        <v>171</v>
      </c>
      <c r="D5" s="33" t="s">
        <v>172</v>
      </c>
      <c r="E5" s="33" t="s">
        <v>173</v>
      </c>
      <c r="F5" s="57">
        <v>0.41199999999999998</v>
      </c>
      <c r="G5" s="58">
        <v>0.41199999999999998</v>
      </c>
      <c r="H5" s="33" t="s">
        <v>174</v>
      </c>
    </row>
    <row r="6" spans="1:8" x14ac:dyDescent="0.2">
      <c r="A6" s="59">
        <v>2</v>
      </c>
      <c r="B6" s="59" t="s">
        <v>175</v>
      </c>
      <c r="C6" s="36" t="s">
        <v>176</v>
      </c>
      <c r="D6" s="36" t="s">
        <v>177</v>
      </c>
      <c r="E6" s="36" t="s">
        <v>178</v>
      </c>
      <c r="F6" s="60">
        <v>0.187</v>
      </c>
      <c r="G6" s="61">
        <v>0.187</v>
      </c>
      <c r="H6" s="36" t="s">
        <v>179</v>
      </c>
    </row>
    <row r="7" spans="1:8" x14ac:dyDescent="0.2">
      <c r="A7" s="56">
        <v>3</v>
      </c>
      <c r="B7" s="56" t="s">
        <v>180</v>
      </c>
      <c r="C7" s="33" t="s">
        <v>181</v>
      </c>
      <c r="D7" s="33" t="s">
        <v>182</v>
      </c>
      <c r="E7" s="33" t="s">
        <v>183</v>
      </c>
      <c r="F7" s="57">
        <v>0.14299999999999999</v>
      </c>
      <c r="G7" s="58">
        <v>0.14299999999999999</v>
      </c>
      <c r="H7" s="33" t="s">
        <v>184</v>
      </c>
    </row>
    <row r="8" spans="1:8" x14ac:dyDescent="0.2">
      <c r="A8" s="59">
        <v>4</v>
      </c>
      <c r="B8" s="59" t="s">
        <v>185</v>
      </c>
      <c r="C8" s="36" t="s">
        <v>186</v>
      </c>
      <c r="D8" s="36" t="s">
        <v>187</v>
      </c>
      <c r="E8" s="36" t="s">
        <v>188</v>
      </c>
      <c r="F8" s="60">
        <v>0.11799999999999999</v>
      </c>
      <c r="G8" s="61">
        <v>0.11799999999999999</v>
      </c>
      <c r="H8" s="36" t="s">
        <v>189</v>
      </c>
    </row>
    <row r="9" spans="1:8" x14ac:dyDescent="0.2">
      <c r="A9" s="56">
        <v>5</v>
      </c>
      <c r="B9" s="56" t="s">
        <v>190</v>
      </c>
      <c r="C9" s="33" t="s">
        <v>191</v>
      </c>
      <c r="D9" s="33" t="s">
        <v>192</v>
      </c>
      <c r="E9" s="33" t="s">
        <v>193</v>
      </c>
      <c r="F9" s="57">
        <v>8.8999999999999996E-2</v>
      </c>
      <c r="G9" s="58">
        <v>8.8999999999999996E-2</v>
      </c>
      <c r="H9" s="33" t="s">
        <v>194</v>
      </c>
    </row>
    <row r="10" spans="1:8" x14ac:dyDescent="0.2">
      <c r="A10" s="59">
        <v>6</v>
      </c>
      <c r="B10" s="59" t="s">
        <v>195</v>
      </c>
      <c r="C10" s="36" t="s">
        <v>181</v>
      </c>
      <c r="D10" s="36" t="s">
        <v>196</v>
      </c>
      <c r="E10" s="36" t="s">
        <v>197</v>
      </c>
      <c r="F10" s="60">
        <v>6.7000000000000004E-2</v>
      </c>
      <c r="G10" s="61">
        <v>6.7000000000000004E-2</v>
      </c>
      <c r="H10" s="36" t="s">
        <v>198</v>
      </c>
    </row>
    <row r="11" spans="1:8" x14ac:dyDescent="0.2">
      <c r="A11" s="56">
        <v>7</v>
      </c>
      <c r="B11" s="56" t="s">
        <v>199</v>
      </c>
      <c r="C11" s="33" t="s">
        <v>191</v>
      </c>
      <c r="D11" s="33" t="s">
        <v>200</v>
      </c>
      <c r="E11" s="33" t="s">
        <v>201</v>
      </c>
      <c r="F11" s="57">
        <v>4.1000000000000002E-2</v>
      </c>
      <c r="G11" s="58">
        <v>4.1000000000000002E-2</v>
      </c>
      <c r="H11" s="33" t="s">
        <v>202</v>
      </c>
    </row>
    <row r="12" spans="1:8" x14ac:dyDescent="0.2">
      <c r="A12" s="59">
        <v>8</v>
      </c>
      <c r="B12" s="59" t="s">
        <v>203</v>
      </c>
      <c r="C12" s="36" t="s">
        <v>204</v>
      </c>
      <c r="D12" s="36" t="s">
        <v>72</v>
      </c>
      <c r="E12" s="36" t="s">
        <v>72</v>
      </c>
      <c r="F12" s="60">
        <v>4.2999999999999997E-2</v>
      </c>
      <c r="G12" s="61">
        <v>4.2999999999999997E-2</v>
      </c>
      <c r="H12" s="36" t="s">
        <v>205</v>
      </c>
    </row>
    <row r="14" spans="1:8" ht="3.75" customHeight="1" x14ac:dyDescent="0.2">
      <c r="A14" s="12"/>
      <c r="B14" s="12"/>
      <c r="C14" s="12"/>
      <c r="D14" s="12"/>
      <c r="E14" s="12"/>
      <c r="F14" s="12"/>
      <c r="G14" s="12"/>
      <c r="H14" s="12"/>
    </row>
    <row r="15" spans="1:8" x14ac:dyDescent="0.2">
      <c r="A15" s="119" t="s">
        <v>206</v>
      </c>
      <c r="B15" s="119"/>
      <c r="C15" s="119"/>
      <c r="D15" s="119"/>
      <c r="E15" s="119"/>
      <c r="F15" s="119"/>
      <c r="G15" s="119"/>
      <c r="H15" s="119"/>
    </row>
    <row r="16" spans="1:8" ht="15" customHeight="1" x14ac:dyDescent="0.2">
      <c r="A16" s="124" t="s">
        <v>207</v>
      </c>
      <c r="B16" s="124"/>
      <c r="C16" s="124"/>
      <c r="D16" s="125" t="s">
        <v>22</v>
      </c>
      <c r="E16" s="125"/>
      <c r="F16" s="8" t="s">
        <v>208</v>
      </c>
      <c r="G16" s="8"/>
      <c r="H16" s="8"/>
    </row>
    <row r="17" spans="1:8" ht="15" customHeight="1" x14ac:dyDescent="0.2">
      <c r="A17" s="126" t="s">
        <v>209</v>
      </c>
      <c r="B17" s="126"/>
      <c r="C17" s="126"/>
      <c r="D17" s="127" t="s">
        <v>4</v>
      </c>
      <c r="E17" s="127"/>
      <c r="F17" s="128" t="s">
        <v>210</v>
      </c>
      <c r="G17" s="128"/>
      <c r="H17" s="128"/>
    </row>
    <row r="18" spans="1:8" ht="15" customHeight="1" x14ac:dyDescent="0.2">
      <c r="A18" s="129" t="s">
        <v>211</v>
      </c>
      <c r="B18" s="129"/>
      <c r="C18" s="129"/>
      <c r="D18" s="130" t="s">
        <v>25</v>
      </c>
      <c r="E18" s="130"/>
      <c r="F18" s="8" t="s">
        <v>212</v>
      </c>
      <c r="G18" s="8"/>
      <c r="H18" s="8"/>
    </row>
    <row r="19" spans="1:8" ht="15" customHeight="1" x14ac:dyDescent="0.2">
      <c r="A19" s="131" t="s">
        <v>213</v>
      </c>
      <c r="B19" s="131"/>
      <c r="C19" s="131"/>
      <c r="D19" s="132" t="s">
        <v>214</v>
      </c>
      <c r="E19" s="132"/>
      <c r="F19" s="128" t="s">
        <v>215</v>
      </c>
      <c r="G19" s="128"/>
      <c r="H19" s="128"/>
    </row>
  </sheetData>
  <mergeCells count="16">
    <mergeCell ref="A19:C19"/>
    <mergeCell ref="D19:E19"/>
    <mergeCell ref="F19:H19"/>
    <mergeCell ref="A17:C17"/>
    <mergeCell ref="D17:E17"/>
    <mergeCell ref="F17:H17"/>
    <mergeCell ref="A18:C18"/>
    <mergeCell ref="D18:E18"/>
    <mergeCell ref="F18:H18"/>
    <mergeCell ref="A1:H1"/>
    <mergeCell ref="A2:H2"/>
    <mergeCell ref="A14:H14"/>
    <mergeCell ref="A15:H15"/>
    <mergeCell ref="A16:C16"/>
    <mergeCell ref="D16:E16"/>
    <mergeCell ref="F16:H1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5"/>
  <sheetViews>
    <sheetView showGridLines="0" zoomScaleNormal="100" workbookViewId="0">
      <selection sqref="A1:G1"/>
    </sheetView>
  </sheetViews>
  <sheetFormatPr baseColWidth="10" defaultColWidth="8.6640625" defaultRowHeight="15" x14ac:dyDescent="0.2"/>
  <cols>
    <col min="1" max="2" width="10" customWidth="1"/>
    <col min="3" max="3" width="24" customWidth="1"/>
    <col min="4" max="5" width="18" customWidth="1"/>
    <col min="6" max="6" width="20" customWidth="1"/>
    <col min="7" max="7" width="18" customWidth="1"/>
  </cols>
  <sheetData>
    <row r="1" spans="1:7" ht="16" x14ac:dyDescent="0.2">
      <c r="A1" s="116" t="s">
        <v>216</v>
      </c>
      <c r="B1" s="116"/>
      <c r="C1" s="116"/>
      <c r="D1" s="116"/>
      <c r="E1" s="116"/>
      <c r="F1" s="116"/>
      <c r="G1" s="116"/>
    </row>
    <row r="2" spans="1:7" x14ac:dyDescent="0.2">
      <c r="A2" s="117" t="s">
        <v>217</v>
      </c>
      <c r="B2" s="117"/>
      <c r="C2" s="117"/>
      <c r="D2" s="117"/>
      <c r="E2" s="117"/>
      <c r="F2" s="117"/>
      <c r="G2" s="117"/>
    </row>
    <row r="4" spans="1:7" x14ac:dyDescent="0.2">
      <c r="A4" s="19" t="s">
        <v>218</v>
      </c>
      <c r="B4" s="19" t="s">
        <v>219</v>
      </c>
      <c r="C4" s="19" t="s">
        <v>220</v>
      </c>
      <c r="D4" s="19" t="s">
        <v>221</v>
      </c>
      <c r="E4" s="19" t="s">
        <v>222</v>
      </c>
      <c r="F4" s="19" t="s">
        <v>223</v>
      </c>
      <c r="G4" s="19" t="s">
        <v>224</v>
      </c>
    </row>
    <row r="5" spans="1:7" x14ac:dyDescent="0.2">
      <c r="A5" s="62" t="s">
        <v>225</v>
      </c>
      <c r="B5" s="63" t="s">
        <v>226</v>
      </c>
      <c r="C5" s="64" t="s">
        <v>227</v>
      </c>
      <c r="D5" s="65">
        <v>5000</v>
      </c>
      <c r="E5" s="65">
        <v>113.4</v>
      </c>
      <c r="F5" s="63">
        <v>5193</v>
      </c>
      <c r="G5" s="65">
        <v>113.4</v>
      </c>
    </row>
    <row r="6" spans="1:7" x14ac:dyDescent="0.2">
      <c r="A6" s="62" t="s">
        <v>228</v>
      </c>
      <c r="B6" s="63" t="s">
        <v>226</v>
      </c>
      <c r="C6" s="64" t="s">
        <v>227</v>
      </c>
      <c r="D6" s="65">
        <v>5000</v>
      </c>
      <c r="E6" s="65">
        <v>113.4</v>
      </c>
      <c r="F6" s="63">
        <v>4981</v>
      </c>
      <c r="G6" s="65">
        <v>226.8</v>
      </c>
    </row>
    <row r="7" spans="1:7" x14ac:dyDescent="0.2">
      <c r="A7" s="62" t="s">
        <v>229</v>
      </c>
      <c r="B7" s="63" t="s">
        <v>230</v>
      </c>
      <c r="C7" s="64" t="s">
        <v>227</v>
      </c>
      <c r="D7" s="65">
        <v>4800</v>
      </c>
      <c r="E7" s="65">
        <v>110.2</v>
      </c>
      <c r="F7" s="63">
        <v>3650</v>
      </c>
      <c r="G7" s="65">
        <v>337</v>
      </c>
    </row>
    <row r="8" spans="1:7" x14ac:dyDescent="0.2">
      <c r="A8" s="66" t="s">
        <v>231</v>
      </c>
      <c r="B8" s="67" t="s">
        <v>230</v>
      </c>
      <c r="C8" s="68" t="s">
        <v>232</v>
      </c>
      <c r="D8" s="69">
        <v>3200</v>
      </c>
      <c r="E8" s="69">
        <v>97.2</v>
      </c>
      <c r="F8" s="67">
        <v>2820</v>
      </c>
      <c r="G8" s="69">
        <v>434.2</v>
      </c>
    </row>
    <row r="9" spans="1:7" x14ac:dyDescent="0.2">
      <c r="A9" s="62" t="s">
        <v>233</v>
      </c>
      <c r="B9" s="63" t="s">
        <v>234</v>
      </c>
      <c r="C9" s="64" t="s">
        <v>227</v>
      </c>
      <c r="D9" s="65">
        <v>5000</v>
      </c>
      <c r="E9" s="65">
        <v>113.4</v>
      </c>
      <c r="F9" s="63">
        <v>4210</v>
      </c>
      <c r="G9" s="65">
        <v>547.6</v>
      </c>
    </row>
    <row r="10" spans="1:7" x14ac:dyDescent="0.2">
      <c r="A10" s="62" t="s">
        <v>235</v>
      </c>
      <c r="B10" s="63" t="s">
        <v>236</v>
      </c>
      <c r="C10" s="64" t="s">
        <v>227</v>
      </c>
      <c r="D10" s="65">
        <v>4600</v>
      </c>
      <c r="E10" s="65">
        <v>107.8</v>
      </c>
      <c r="F10" s="63">
        <v>3980</v>
      </c>
      <c r="G10" s="65">
        <v>655.4</v>
      </c>
    </row>
    <row r="11" spans="1:7" x14ac:dyDescent="0.2">
      <c r="A11" s="62" t="s">
        <v>237</v>
      </c>
      <c r="B11" s="63" t="s">
        <v>238</v>
      </c>
      <c r="C11" s="64" t="s">
        <v>227</v>
      </c>
      <c r="D11" s="65">
        <v>4400</v>
      </c>
      <c r="E11" s="65">
        <v>104.6</v>
      </c>
      <c r="F11" s="63">
        <v>4100</v>
      </c>
      <c r="G11" s="65">
        <v>760</v>
      </c>
    </row>
    <row r="12" spans="1:7" x14ac:dyDescent="0.2">
      <c r="A12" s="62" t="s">
        <v>239</v>
      </c>
      <c r="B12" s="63" t="s">
        <v>240</v>
      </c>
      <c r="C12" s="64" t="s">
        <v>227</v>
      </c>
      <c r="D12" s="65">
        <v>4200</v>
      </c>
      <c r="E12" s="65">
        <v>101.4</v>
      </c>
      <c r="F12" s="63">
        <v>3790</v>
      </c>
      <c r="G12" s="65">
        <v>861.4</v>
      </c>
    </row>
    <row r="13" spans="1:7" x14ac:dyDescent="0.2">
      <c r="A13" s="62" t="s">
        <v>241</v>
      </c>
      <c r="B13" s="63" t="s">
        <v>242</v>
      </c>
      <c r="C13" s="64" t="s">
        <v>227</v>
      </c>
      <c r="D13" s="65">
        <v>4000</v>
      </c>
      <c r="E13" s="65">
        <v>98.2</v>
      </c>
      <c r="F13" s="63">
        <v>3640</v>
      </c>
      <c r="G13" s="65">
        <v>959.6</v>
      </c>
    </row>
    <row r="14" spans="1:7" x14ac:dyDescent="0.2">
      <c r="A14" s="66" t="s">
        <v>243</v>
      </c>
      <c r="B14" s="67" t="s">
        <v>242</v>
      </c>
      <c r="C14" s="68" t="s">
        <v>232</v>
      </c>
      <c r="D14" s="69">
        <v>3200</v>
      </c>
      <c r="E14" s="69">
        <v>97.2</v>
      </c>
      <c r="F14" s="67">
        <v>3200</v>
      </c>
      <c r="G14" s="69">
        <v>1056.8</v>
      </c>
    </row>
    <row r="15" spans="1:7" x14ac:dyDescent="0.2">
      <c r="A15" s="62" t="s">
        <v>244</v>
      </c>
      <c r="B15" s="63" t="s">
        <v>245</v>
      </c>
      <c r="C15" s="64" t="s">
        <v>227</v>
      </c>
      <c r="D15" s="65">
        <v>5000</v>
      </c>
      <c r="E15" s="65">
        <v>113.4</v>
      </c>
      <c r="F15" s="63">
        <v>3980</v>
      </c>
      <c r="G15" s="65">
        <v>1170.2</v>
      </c>
    </row>
    <row r="16" spans="1:7" x14ac:dyDescent="0.2">
      <c r="A16" s="133" t="s">
        <v>246</v>
      </c>
      <c r="B16" s="133"/>
      <c r="C16" s="133"/>
      <c r="D16" s="70">
        <f>SUM(D5:D15)</f>
        <v>48400</v>
      </c>
      <c r="E16" s="71">
        <f>SUM(E5:E15)</f>
        <v>1170.2</v>
      </c>
      <c r="G16" s="71">
        <f>SUM(G5:G15)</f>
        <v>7122.4000000000005</v>
      </c>
    </row>
    <row r="18" spans="1:7" x14ac:dyDescent="0.2">
      <c r="A18" s="134" t="s">
        <v>247</v>
      </c>
      <c r="B18" s="134"/>
      <c r="C18" s="134"/>
      <c r="D18" s="134"/>
      <c r="E18" s="134"/>
      <c r="F18" s="134"/>
      <c r="G18" s="134"/>
    </row>
    <row r="19" spans="1:7" x14ac:dyDescent="0.2">
      <c r="A19" s="135" t="s">
        <v>248</v>
      </c>
      <c r="B19" s="135"/>
      <c r="C19" s="135"/>
      <c r="D19" s="135"/>
      <c r="E19" s="72">
        <f>9*113.4+2*97.2</f>
        <v>1215</v>
      </c>
    </row>
    <row r="20" spans="1:7" x14ac:dyDescent="0.2">
      <c r="A20" s="136" t="s">
        <v>249</v>
      </c>
      <c r="B20" s="136"/>
      <c r="C20" s="136"/>
      <c r="D20" s="136"/>
      <c r="E20" s="73">
        <f>7*11.6</f>
        <v>81.2</v>
      </c>
    </row>
    <row r="21" spans="1:7" x14ac:dyDescent="0.2">
      <c r="A21" s="135" t="s">
        <v>250</v>
      </c>
      <c r="B21" s="135"/>
      <c r="C21" s="135"/>
      <c r="D21" s="135"/>
      <c r="E21" s="72">
        <f>7*12.3</f>
        <v>86.100000000000009</v>
      </c>
    </row>
    <row r="22" spans="1:7" x14ac:dyDescent="0.2">
      <c r="A22" s="10" t="s">
        <v>251</v>
      </c>
      <c r="B22" s="10"/>
      <c r="C22" s="10"/>
      <c r="D22" s="10"/>
      <c r="E22" s="74">
        <f>E19+E20+E21</f>
        <v>1382.3</v>
      </c>
    </row>
    <row r="23" spans="1:7" x14ac:dyDescent="0.2">
      <c r="A23" s="135" t="s">
        <v>252</v>
      </c>
      <c r="B23" s="135"/>
      <c r="C23" s="135"/>
      <c r="D23" s="135"/>
      <c r="E23" s="72">
        <f>LCC_Breakdown!D12</f>
        <v>1472</v>
      </c>
    </row>
    <row r="24" spans="1:7" x14ac:dyDescent="0.2">
      <c r="A24" s="10" t="s">
        <v>253</v>
      </c>
      <c r="B24" s="10"/>
      <c r="C24" s="10"/>
      <c r="D24" s="10"/>
      <c r="E24" s="74">
        <f>E23-E22</f>
        <v>89.700000000000045</v>
      </c>
    </row>
    <row r="25" spans="1:7" x14ac:dyDescent="0.2">
      <c r="A25" s="10" t="s">
        <v>254</v>
      </c>
      <c r="B25" s="10"/>
      <c r="C25" s="10"/>
      <c r="D25" s="10"/>
      <c r="E25" s="75">
        <f>E24/E23</f>
        <v>6.0937500000000033E-2</v>
      </c>
    </row>
  </sheetData>
  <mergeCells count="11">
    <mergeCell ref="A25:D25"/>
    <mergeCell ref="A20:D20"/>
    <mergeCell ref="A21:D21"/>
    <mergeCell ref="A22:D22"/>
    <mergeCell ref="A23:D23"/>
    <mergeCell ref="A24:D24"/>
    <mergeCell ref="A1:G1"/>
    <mergeCell ref="A2:G2"/>
    <mergeCell ref="A16:C16"/>
    <mergeCell ref="A18:G18"/>
    <mergeCell ref="A19:D19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2"/>
  <sheetViews>
    <sheetView showGridLines="0" zoomScaleNormal="100" workbookViewId="0">
      <selection activeCell="G30" sqref="G30"/>
    </sheetView>
  </sheetViews>
  <sheetFormatPr baseColWidth="10" defaultColWidth="8.6640625" defaultRowHeight="15" x14ac:dyDescent="0.2"/>
  <cols>
    <col min="1" max="1" width="10" customWidth="1"/>
    <col min="2" max="2" width="14" customWidth="1"/>
    <col min="3" max="3" width="12" customWidth="1"/>
    <col min="4" max="4" width="18" customWidth="1"/>
    <col min="5" max="5" width="14" customWidth="1"/>
    <col min="6" max="6" width="28" customWidth="1"/>
  </cols>
  <sheetData>
    <row r="1" spans="1:6" ht="16" x14ac:dyDescent="0.2">
      <c r="A1" s="116" t="s">
        <v>255</v>
      </c>
      <c r="B1" s="116"/>
      <c r="C1" s="116"/>
      <c r="D1" s="116"/>
      <c r="E1" s="116"/>
      <c r="F1" s="116"/>
    </row>
    <row r="2" spans="1:6" x14ac:dyDescent="0.2">
      <c r="A2" s="117" t="s">
        <v>256</v>
      </c>
      <c r="B2" s="117"/>
      <c r="C2" s="117"/>
      <c r="D2" s="117"/>
      <c r="E2" s="117"/>
      <c r="F2" s="117"/>
    </row>
    <row r="4" spans="1:6" x14ac:dyDescent="0.2">
      <c r="A4" s="137" t="s">
        <v>257</v>
      </c>
      <c r="B4" s="137"/>
    </row>
    <row r="5" spans="1:6" ht="15" customHeight="1" x14ac:dyDescent="0.2">
      <c r="A5" s="20" t="s">
        <v>70</v>
      </c>
      <c r="B5" s="76">
        <v>1.65</v>
      </c>
      <c r="C5" s="138" t="s">
        <v>258</v>
      </c>
      <c r="D5" s="138"/>
      <c r="E5" s="138"/>
      <c r="F5" s="138"/>
    </row>
    <row r="6" spans="1:6" ht="15" customHeight="1" x14ac:dyDescent="0.2">
      <c r="A6" s="25" t="s">
        <v>259</v>
      </c>
      <c r="B6" s="76">
        <v>21.4</v>
      </c>
      <c r="C6" s="139" t="s">
        <v>260</v>
      </c>
      <c r="D6" s="139"/>
      <c r="E6" s="139"/>
      <c r="F6" s="139"/>
    </row>
    <row r="7" spans="1:6" ht="15" customHeight="1" x14ac:dyDescent="0.2">
      <c r="A7" s="20" t="s">
        <v>261</v>
      </c>
      <c r="B7" s="76">
        <v>30</v>
      </c>
      <c r="C7" s="138" t="s">
        <v>262</v>
      </c>
      <c r="D7" s="138"/>
      <c r="E7" s="138"/>
      <c r="F7" s="138"/>
    </row>
    <row r="8" spans="1:6" ht="15" customHeight="1" x14ac:dyDescent="0.2">
      <c r="A8" s="25" t="s">
        <v>263</v>
      </c>
      <c r="B8" s="76">
        <v>60104</v>
      </c>
      <c r="C8" s="139" t="s">
        <v>264</v>
      </c>
      <c r="D8" s="139"/>
      <c r="E8" s="139"/>
      <c r="F8" s="139"/>
    </row>
    <row r="10" spans="1:6" x14ac:dyDescent="0.2">
      <c r="A10" s="137" t="s">
        <v>265</v>
      </c>
      <c r="B10" s="137"/>
    </row>
    <row r="11" spans="1:6" ht="16" x14ac:dyDescent="0.2">
      <c r="A11" s="15" t="s">
        <v>266</v>
      </c>
      <c r="B11" s="77">
        <f>B5*B6*SQRT(B7)</f>
        <v>193.40083505507414</v>
      </c>
      <c r="C11" s="140" t="s">
        <v>267</v>
      </c>
      <c r="D11" s="140"/>
      <c r="E11" s="140"/>
      <c r="F11" s="140"/>
    </row>
    <row r="12" spans="1:6" ht="16" x14ac:dyDescent="0.2">
      <c r="A12" s="17" t="s">
        <v>268</v>
      </c>
      <c r="B12" s="78">
        <f>B5*B6*SQRT(B7)*B8/1000000</f>
        <v>11.624163790150178</v>
      </c>
      <c r="C12" s="141" t="s">
        <v>269</v>
      </c>
      <c r="D12" s="141"/>
      <c r="E12" s="141"/>
      <c r="F12" s="141"/>
    </row>
    <row r="13" spans="1:6" ht="16" x14ac:dyDescent="0.2">
      <c r="A13" s="15" t="s">
        <v>270</v>
      </c>
      <c r="B13" s="77">
        <f>B5*B6*SQRT(B7)/((28+30)/2)</f>
        <v>6.6689943122439361</v>
      </c>
      <c r="C13" s="140" t="s">
        <v>271</v>
      </c>
      <c r="D13" s="140"/>
      <c r="E13" s="140"/>
      <c r="F13" s="140"/>
    </row>
    <row r="14" spans="1:6" ht="16" x14ac:dyDescent="0.2">
      <c r="A14" s="17" t="s">
        <v>272</v>
      </c>
      <c r="B14" s="79">
        <f>1-NORMSDIST(B5)</f>
        <v>4.9471468033648103E-2</v>
      </c>
      <c r="C14" s="141" t="s">
        <v>273</v>
      </c>
      <c r="D14" s="141"/>
      <c r="E14" s="141"/>
      <c r="F14" s="141"/>
    </row>
    <row r="16" spans="1:6" x14ac:dyDescent="0.2">
      <c r="A16" s="142" t="s">
        <v>274</v>
      </c>
      <c r="B16" s="142"/>
      <c r="C16" s="142"/>
      <c r="D16" s="142"/>
      <c r="E16" s="142"/>
      <c r="F16" s="142"/>
    </row>
    <row r="17" spans="1:6" x14ac:dyDescent="0.2">
      <c r="A17" s="19" t="s">
        <v>71</v>
      </c>
      <c r="B17" s="19" t="s">
        <v>275</v>
      </c>
      <c r="C17" s="19" t="s">
        <v>276</v>
      </c>
      <c r="D17" s="19" t="s">
        <v>277</v>
      </c>
      <c r="E17" s="19" t="s">
        <v>278</v>
      </c>
      <c r="F17" s="19" t="s">
        <v>279</v>
      </c>
    </row>
    <row r="18" spans="1:6" x14ac:dyDescent="0.2">
      <c r="A18" s="23">
        <v>1.28</v>
      </c>
      <c r="B18" s="23" t="s">
        <v>280</v>
      </c>
      <c r="C18" s="23">
        <v>149</v>
      </c>
      <c r="D18" s="23" t="s">
        <v>281</v>
      </c>
      <c r="E18" s="23" t="s">
        <v>282</v>
      </c>
      <c r="F18" s="23" t="s">
        <v>283</v>
      </c>
    </row>
    <row r="19" spans="1:6" x14ac:dyDescent="0.2">
      <c r="A19" s="27">
        <v>1.45</v>
      </c>
      <c r="B19" s="27" t="s">
        <v>284</v>
      </c>
      <c r="C19" s="27">
        <v>169</v>
      </c>
      <c r="D19" s="27" t="s">
        <v>285</v>
      </c>
      <c r="E19" s="27" t="s">
        <v>286</v>
      </c>
      <c r="F19" s="27" t="s">
        <v>287</v>
      </c>
    </row>
    <row r="20" spans="1:6" x14ac:dyDescent="0.2">
      <c r="A20" s="80">
        <v>1.65</v>
      </c>
      <c r="B20" s="80" t="s">
        <v>288</v>
      </c>
      <c r="C20" s="80">
        <v>193</v>
      </c>
      <c r="D20" s="80" t="s">
        <v>16</v>
      </c>
      <c r="E20" s="80" t="s">
        <v>289</v>
      </c>
      <c r="F20" s="80" t="s">
        <v>376</v>
      </c>
    </row>
    <row r="21" spans="1:6" x14ac:dyDescent="0.2">
      <c r="A21" s="27">
        <v>1.96</v>
      </c>
      <c r="B21" s="27" t="s">
        <v>290</v>
      </c>
      <c r="C21" s="27">
        <v>229</v>
      </c>
      <c r="D21" s="27" t="s">
        <v>291</v>
      </c>
      <c r="E21" s="27" t="s">
        <v>292</v>
      </c>
      <c r="F21" s="27" t="s">
        <v>293</v>
      </c>
    </row>
    <row r="22" spans="1:6" x14ac:dyDescent="0.2">
      <c r="A22" s="23">
        <v>2.33</v>
      </c>
      <c r="B22" s="23" t="s">
        <v>294</v>
      </c>
      <c r="C22" s="23">
        <v>272</v>
      </c>
      <c r="D22" s="23" t="s">
        <v>295</v>
      </c>
      <c r="E22" s="23" t="s">
        <v>296</v>
      </c>
      <c r="F22" s="23" t="s">
        <v>297</v>
      </c>
    </row>
  </sheetData>
  <mergeCells count="13">
    <mergeCell ref="C13:F13"/>
    <mergeCell ref="C14:F14"/>
    <mergeCell ref="A16:F16"/>
    <mergeCell ref="C7:F7"/>
    <mergeCell ref="C8:F8"/>
    <mergeCell ref="A10:B10"/>
    <mergeCell ref="C11:F11"/>
    <mergeCell ref="C12:F12"/>
    <mergeCell ref="A1:F1"/>
    <mergeCell ref="A2:F2"/>
    <mergeCell ref="A4:B4"/>
    <mergeCell ref="C5:F5"/>
    <mergeCell ref="C6:F6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"/>
  <sheetViews>
    <sheetView showGridLines="0" zoomScaleNormal="100" workbookViewId="0">
      <selection sqref="A1:G1"/>
    </sheetView>
  </sheetViews>
  <sheetFormatPr baseColWidth="10" defaultColWidth="8.6640625" defaultRowHeight="15" x14ac:dyDescent="0.2"/>
  <cols>
    <col min="1" max="1" width="10" customWidth="1"/>
    <col min="2" max="2" width="46" customWidth="1"/>
    <col min="3" max="3" width="14" customWidth="1"/>
    <col min="4" max="4" width="18" customWidth="1"/>
    <col min="5" max="5" width="14" customWidth="1"/>
    <col min="6" max="6" width="10" customWidth="1"/>
    <col min="7" max="7" width="12" customWidth="1"/>
  </cols>
  <sheetData>
    <row r="1" spans="1:7" ht="16" x14ac:dyDescent="0.2">
      <c r="A1" s="116" t="s">
        <v>298</v>
      </c>
      <c r="B1" s="116"/>
      <c r="C1" s="116"/>
      <c r="D1" s="116"/>
      <c r="E1" s="116"/>
      <c r="F1" s="116"/>
      <c r="G1" s="116"/>
    </row>
    <row r="2" spans="1:7" x14ac:dyDescent="0.2">
      <c r="A2" s="117" t="s">
        <v>299</v>
      </c>
      <c r="B2" s="117"/>
      <c r="C2" s="117"/>
      <c r="D2" s="117"/>
      <c r="E2" s="117"/>
      <c r="F2" s="117"/>
      <c r="G2" s="117"/>
    </row>
    <row r="4" spans="1:7" x14ac:dyDescent="0.2">
      <c r="A4" s="19" t="s">
        <v>300</v>
      </c>
      <c r="B4" s="19" t="s">
        <v>301</v>
      </c>
      <c r="C4" s="19" t="s">
        <v>302</v>
      </c>
      <c r="D4" s="19" t="s">
        <v>303</v>
      </c>
      <c r="E4" s="19" t="s">
        <v>304</v>
      </c>
      <c r="F4" s="19" t="s">
        <v>305</v>
      </c>
      <c r="G4" s="19" t="s">
        <v>306</v>
      </c>
    </row>
    <row r="5" spans="1:7" ht="27.75" customHeight="1" x14ac:dyDescent="0.2">
      <c r="A5" s="81" t="s">
        <v>307</v>
      </c>
      <c r="B5" s="82" t="s">
        <v>308</v>
      </c>
      <c r="C5" s="83">
        <v>1472</v>
      </c>
      <c r="D5" s="84">
        <v>0</v>
      </c>
      <c r="E5" s="85">
        <v>0</v>
      </c>
      <c r="F5" s="86">
        <v>21</v>
      </c>
      <c r="G5" s="87" t="s">
        <v>309</v>
      </c>
    </row>
    <row r="6" spans="1:7" ht="27.75" customHeight="1" x14ac:dyDescent="0.2">
      <c r="A6" s="60" t="s">
        <v>310</v>
      </c>
      <c r="B6" s="18" t="s">
        <v>311</v>
      </c>
      <c r="C6" s="88">
        <v>1247</v>
      </c>
      <c r="D6" s="89">
        <v>-225</v>
      </c>
      <c r="E6" s="90">
        <v>-0.153</v>
      </c>
      <c r="F6" s="27">
        <v>11</v>
      </c>
      <c r="G6" s="91" t="s">
        <v>312</v>
      </c>
    </row>
    <row r="7" spans="1:7" ht="27.75" customHeight="1" x14ac:dyDescent="0.2">
      <c r="A7" s="92" t="s">
        <v>313</v>
      </c>
      <c r="B7" s="93" t="s">
        <v>314</v>
      </c>
      <c r="C7" s="94">
        <v>1208</v>
      </c>
      <c r="D7" s="95">
        <v>-264</v>
      </c>
      <c r="E7" s="96">
        <v>-0.17899999999999999</v>
      </c>
      <c r="F7" s="97">
        <v>10</v>
      </c>
      <c r="G7" s="98" t="s">
        <v>309</v>
      </c>
    </row>
    <row r="8" spans="1:7" ht="27.75" customHeight="1" x14ac:dyDescent="0.2">
      <c r="A8" s="60" t="s">
        <v>315</v>
      </c>
      <c r="B8" s="18" t="s">
        <v>316</v>
      </c>
      <c r="C8" s="88">
        <v>1179</v>
      </c>
      <c r="D8" s="89">
        <v>-293</v>
      </c>
      <c r="E8" s="90">
        <v>-0.19900000000000001</v>
      </c>
      <c r="F8" s="27">
        <v>10</v>
      </c>
      <c r="G8" s="99" t="s">
        <v>309</v>
      </c>
    </row>
    <row r="9" spans="1:7" ht="27.75" customHeight="1" x14ac:dyDescent="0.2">
      <c r="A9" s="57" t="s">
        <v>317</v>
      </c>
      <c r="B9" s="16" t="s">
        <v>318</v>
      </c>
      <c r="C9" s="100">
        <v>928</v>
      </c>
      <c r="D9" s="101">
        <v>-544</v>
      </c>
      <c r="E9" s="102">
        <v>-0.37</v>
      </c>
      <c r="F9" s="23">
        <v>14</v>
      </c>
      <c r="G9" s="103" t="s">
        <v>319</v>
      </c>
    </row>
    <row r="10" spans="1:7" ht="27.75" customHeight="1" x14ac:dyDescent="0.2">
      <c r="A10" s="60" t="s">
        <v>320</v>
      </c>
      <c r="B10" s="18" t="s">
        <v>321</v>
      </c>
      <c r="C10" s="88">
        <v>1247</v>
      </c>
      <c r="D10" s="89">
        <v>-225</v>
      </c>
      <c r="E10" s="90">
        <v>-0.153</v>
      </c>
      <c r="F10" s="27">
        <v>8</v>
      </c>
      <c r="G10" s="104" t="s">
        <v>319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6"/>
  <sheetViews>
    <sheetView showGridLines="0" zoomScaleNormal="100" workbookViewId="0">
      <selection sqref="A1:D1"/>
    </sheetView>
  </sheetViews>
  <sheetFormatPr baseColWidth="10" defaultColWidth="8.6640625" defaultRowHeight="15" x14ac:dyDescent="0.2"/>
  <cols>
    <col min="1" max="2" width="20" customWidth="1"/>
    <col min="3" max="3" width="60" customWidth="1"/>
    <col min="4" max="4" width="4" customWidth="1"/>
  </cols>
  <sheetData>
    <row r="1" spans="1:4" ht="27.75" customHeight="1" x14ac:dyDescent="0.2">
      <c r="A1" s="116" t="s">
        <v>322</v>
      </c>
      <c r="B1" s="116"/>
      <c r="C1" s="116"/>
      <c r="D1" s="116"/>
    </row>
    <row r="3" spans="1:4" ht="21.75" customHeight="1" x14ac:dyDescent="0.2">
      <c r="A3" s="143" t="s">
        <v>323</v>
      </c>
      <c r="B3" s="143"/>
      <c r="C3" s="143"/>
      <c r="D3" s="143"/>
    </row>
    <row r="4" spans="1:4" ht="30" customHeight="1" x14ac:dyDescent="0.2">
      <c r="A4" s="15" t="s">
        <v>324</v>
      </c>
      <c r="B4" s="105" t="s">
        <v>325</v>
      </c>
      <c r="C4" s="113" t="s">
        <v>326</v>
      </c>
      <c r="D4" s="113"/>
    </row>
    <row r="5" spans="1:4" ht="30" customHeight="1" x14ac:dyDescent="0.2">
      <c r="A5" s="17" t="s">
        <v>327</v>
      </c>
      <c r="B5" s="106" t="s">
        <v>328</v>
      </c>
      <c r="C5" s="115" t="s">
        <v>329</v>
      </c>
      <c r="D5" s="115"/>
    </row>
    <row r="6" spans="1:4" ht="30" customHeight="1" x14ac:dyDescent="0.2">
      <c r="A6" s="15" t="s">
        <v>330</v>
      </c>
      <c r="B6" s="105" t="s">
        <v>328</v>
      </c>
      <c r="C6" s="113" t="s">
        <v>331</v>
      </c>
      <c r="D6" s="113"/>
    </row>
    <row r="7" spans="1:4" ht="30" customHeight="1" x14ac:dyDescent="0.2">
      <c r="A7" s="17" t="s">
        <v>332</v>
      </c>
      <c r="B7" s="106" t="s">
        <v>328</v>
      </c>
      <c r="C7" s="115" t="s">
        <v>333</v>
      </c>
      <c r="D7" s="115"/>
    </row>
    <row r="8" spans="1:4" ht="30" customHeight="1" x14ac:dyDescent="0.2">
      <c r="A8" s="15" t="s">
        <v>334</v>
      </c>
      <c r="B8" s="105" t="s">
        <v>328</v>
      </c>
      <c r="C8" s="113" t="s">
        <v>335</v>
      </c>
      <c r="D8" s="113"/>
    </row>
    <row r="9" spans="1:4" ht="30" customHeight="1" x14ac:dyDescent="0.2">
      <c r="A9" s="17" t="s">
        <v>336</v>
      </c>
      <c r="B9" s="106" t="s">
        <v>337</v>
      </c>
      <c r="C9" s="115" t="s">
        <v>338</v>
      </c>
      <c r="D9" s="115"/>
    </row>
    <row r="10" spans="1:4" ht="21.75" customHeight="1" x14ac:dyDescent="0.2">
      <c r="A10" s="143" t="s">
        <v>339</v>
      </c>
      <c r="B10" s="143"/>
      <c r="C10" s="143"/>
      <c r="D10" s="143"/>
    </row>
    <row r="11" spans="1:4" ht="30" customHeight="1" x14ac:dyDescent="0.2">
      <c r="A11" s="15" t="s">
        <v>340</v>
      </c>
      <c r="B11" s="105" t="s">
        <v>341</v>
      </c>
      <c r="C11" s="113" t="s">
        <v>342</v>
      </c>
      <c r="D11" s="113"/>
    </row>
    <row r="12" spans="1:4" ht="30" customHeight="1" x14ac:dyDescent="0.2">
      <c r="A12" s="17" t="s">
        <v>343</v>
      </c>
      <c r="B12" s="106" t="s">
        <v>344</v>
      </c>
      <c r="C12" s="115" t="s">
        <v>345</v>
      </c>
      <c r="D12" s="115"/>
    </row>
    <row r="13" spans="1:4" ht="30" customHeight="1" x14ac:dyDescent="0.2">
      <c r="A13" s="15" t="s">
        <v>346</v>
      </c>
      <c r="B13" s="105" t="s">
        <v>344</v>
      </c>
      <c r="C13" s="113" t="s">
        <v>347</v>
      </c>
      <c r="D13" s="113"/>
    </row>
    <row r="14" spans="1:4" ht="30" customHeight="1" x14ac:dyDescent="0.2">
      <c r="A14" s="17" t="s">
        <v>348</v>
      </c>
      <c r="B14" s="106" t="s">
        <v>344</v>
      </c>
      <c r="C14" s="115" t="s">
        <v>349</v>
      </c>
      <c r="D14" s="115"/>
    </row>
    <row r="15" spans="1:4" ht="30" customHeight="1" x14ac:dyDescent="0.2">
      <c r="A15" s="15" t="s">
        <v>350</v>
      </c>
      <c r="B15" s="105" t="s">
        <v>325</v>
      </c>
      <c r="C15" s="113" t="s">
        <v>351</v>
      </c>
      <c r="D15" s="113"/>
    </row>
    <row r="16" spans="1:4" ht="21.75" customHeight="1" x14ac:dyDescent="0.2">
      <c r="A16" s="143" t="s">
        <v>352</v>
      </c>
      <c r="B16" s="143"/>
      <c r="C16" s="143"/>
      <c r="D16" s="143"/>
    </row>
    <row r="17" spans="1:4" ht="30" customHeight="1" x14ac:dyDescent="0.2">
      <c r="A17" s="15" t="s">
        <v>353</v>
      </c>
      <c r="B17" s="105" t="s">
        <v>354</v>
      </c>
      <c r="C17" s="113" t="s">
        <v>355</v>
      </c>
      <c r="D17" s="113"/>
    </row>
    <row r="18" spans="1:4" ht="30" customHeight="1" x14ac:dyDescent="0.2">
      <c r="A18" s="17" t="s">
        <v>356</v>
      </c>
      <c r="B18" s="106" t="s">
        <v>357</v>
      </c>
      <c r="C18" s="115" t="s">
        <v>358</v>
      </c>
      <c r="D18" s="115"/>
    </row>
    <row r="19" spans="1:4" ht="30" customHeight="1" x14ac:dyDescent="0.2">
      <c r="A19" s="15" t="s">
        <v>359</v>
      </c>
      <c r="B19" s="105" t="s">
        <v>357</v>
      </c>
      <c r="C19" s="113" t="s">
        <v>360</v>
      </c>
      <c r="D19" s="113"/>
    </row>
    <row r="20" spans="1:4" ht="30" customHeight="1" x14ac:dyDescent="0.2">
      <c r="A20" s="17" t="s">
        <v>361</v>
      </c>
      <c r="B20" s="106" t="s">
        <v>357</v>
      </c>
      <c r="C20" s="115" t="s">
        <v>362</v>
      </c>
      <c r="D20" s="115"/>
    </row>
    <row r="21" spans="1:4" ht="30" customHeight="1" x14ac:dyDescent="0.2">
      <c r="A21" s="15" t="s">
        <v>363</v>
      </c>
      <c r="B21" s="105" t="s">
        <v>357</v>
      </c>
      <c r="C21" s="113" t="s">
        <v>364</v>
      </c>
      <c r="D21" s="113"/>
    </row>
    <row r="22" spans="1:4" ht="30" customHeight="1" x14ac:dyDescent="0.2">
      <c r="A22" s="17" t="s">
        <v>365</v>
      </c>
      <c r="B22" s="106" t="s">
        <v>337</v>
      </c>
      <c r="C22" s="115" t="s">
        <v>366</v>
      </c>
      <c r="D22" s="115"/>
    </row>
    <row r="23" spans="1:4" ht="21.75" customHeight="1" x14ac:dyDescent="0.2">
      <c r="A23" s="143" t="s">
        <v>367</v>
      </c>
      <c r="B23" s="143"/>
      <c r="C23" s="143"/>
      <c r="D23" s="143"/>
    </row>
    <row r="24" spans="1:4" ht="30" customHeight="1" x14ac:dyDescent="0.2">
      <c r="A24" s="15" t="s">
        <v>368</v>
      </c>
      <c r="B24" s="105" t="s">
        <v>369</v>
      </c>
      <c r="C24" s="113" t="s">
        <v>370</v>
      </c>
      <c r="D24" s="113"/>
    </row>
    <row r="25" spans="1:4" ht="30" customHeight="1" x14ac:dyDescent="0.2">
      <c r="A25" s="17" t="s">
        <v>371</v>
      </c>
      <c r="B25" s="106" t="s">
        <v>337</v>
      </c>
      <c r="C25" s="115" t="s">
        <v>372</v>
      </c>
      <c r="D25" s="115"/>
    </row>
    <row r="26" spans="1:4" ht="30" customHeight="1" x14ac:dyDescent="0.2">
      <c r="A26" s="15" t="s">
        <v>373</v>
      </c>
      <c r="B26" s="105" t="s">
        <v>374</v>
      </c>
      <c r="C26" s="113" t="s">
        <v>375</v>
      </c>
      <c r="D26" s="113"/>
    </row>
  </sheetData>
  <mergeCells count="25">
    <mergeCell ref="C22:D22"/>
    <mergeCell ref="A23:D23"/>
    <mergeCell ref="C24:D24"/>
    <mergeCell ref="C25:D25"/>
    <mergeCell ref="C26:D26"/>
    <mergeCell ref="C17:D17"/>
    <mergeCell ref="C18:D18"/>
    <mergeCell ref="C19:D19"/>
    <mergeCell ref="C20:D20"/>
    <mergeCell ref="C21:D21"/>
    <mergeCell ref="C12:D12"/>
    <mergeCell ref="C13:D13"/>
    <mergeCell ref="C14:D14"/>
    <mergeCell ref="C15:D15"/>
    <mergeCell ref="A16:D16"/>
    <mergeCell ref="C7:D7"/>
    <mergeCell ref="C8:D8"/>
    <mergeCell ref="C9:D9"/>
    <mergeCell ref="A10:D10"/>
    <mergeCell ref="C11:D11"/>
    <mergeCell ref="A1:D1"/>
    <mergeCell ref="A3:D3"/>
    <mergeCell ref="C4:D4"/>
    <mergeCell ref="C5:D5"/>
    <mergeCell ref="C6:D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CER_Calculator</vt:lpstr>
      <vt:lpstr>LCC_Breakdown</vt:lpstr>
      <vt:lpstr>Monte_Carlo</vt:lpstr>
      <vt:lpstr>MILP_Schedule</vt:lpstr>
      <vt:lpstr>Safety_Stock</vt:lpstr>
      <vt:lpstr>Scenario_Analysis</vt:lpstr>
      <vt:lpstr>Replication_Guide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Pazhanivel, Jagathguru</cp:lastModifiedBy>
  <cp:revision>0</cp:revision>
  <dcterms:created xsi:type="dcterms:W3CDTF">2026-04-10T20:14:10Z</dcterms:created>
  <dcterms:modified xsi:type="dcterms:W3CDTF">2026-04-24T20:11:34Z</dcterms:modified>
  <dc:language>en-US</dc:language>
</cp:coreProperties>
</file>
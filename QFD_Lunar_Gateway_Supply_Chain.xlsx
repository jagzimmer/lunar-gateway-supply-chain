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prasannakumar/Downloads/"/>
    </mc:Choice>
  </mc:AlternateContent>
  <xr:revisionPtr revIDLastSave="0" documentId="13_ncr:1_{2208BC32-D626-F24A-9410-E36CB47DDAC2}" xr6:coauthVersionLast="47" xr6:coauthVersionMax="47" xr10:uidLastSave="{00000000-0000-0000-0000-000000000000}"/>
  <bookViews>
    <workbookView xWindow="0" yWindow="780" windowWidth="34200" windowHeight="20240" tabRatio="500" activeTab="1" xr2:uid="{00000000-000D-0000-FFFF-FFFF00000000}"/>
  </bookViews>
  <sheets>
    <sheet name="QFD" sheetId="1" r:id="rId1"/>
    <sheet name="QFD (2)" sheetId="2" r:id="rId2"/>
  </sheets>
  <externalReferences>
    <externalReference r:id="rId3"/>
  </externalReferences>
  <definedNames>
    <definedName name="Correlation_Options">'[1]Data Validation Sources'!$C$2:$C$6</definedName>
    <definedName name="_xlnm.Print_Area" localSheetId="0">QFD!$A$1:$R$37</definedName>
    <definedName name="_xlnm.Print_Area" localSheetId="1">'QFD (2)'!$A$1:$R$34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2" i="2" l="1"/>
  <c r="M13" i="2"/>
  <c r="M14" i="2"/>
  <c r="M15" i="2"/>
  <c r="M16" i="2"/>
  <c r="M17" i="2"/>
  <c r="M18" i="2"/>
  <c r="M19" i="2"/>
  <c r="M20" i="2"/>
  <c r="L22" i="2"/>
  <c r="J22" i="2"/>
  <c r="I22" i="2"/>
  <c r="H22" i="2"/>
  <c r="F22" i="2"/>
  <c r="M22" i="2" s="1"/>
  <c r="C17" i="2"/>
  <c r="C16" i="2"/>
  <c r="C15" i="2"/>
  <c r="C14" i="2"/>
  <c r="C13" i="2"/>
  <c r="C12" i="2"/>
  <c r="L22" i="1"/>
  <c r="J22" i="1"/>
  <c r="I22" i="1"/>
  <c r="H22" i="1"/>
  <c r="F22" i="1"/>
  <c r="M20" i="1"/>
  <c r="M19" i="1"/>
  <c r="M18" i="1"/>
  <c r="M17" i="1"/>
  <c r="C17" i="1"/>
  <c r="M16" i="1"/>
  <c r="C16" i="1"/>
  <c r="M15" i="1"/>
  <c r="C15" i="1"/>
  <c r="M14" i="1"/>
  <c r="C14" i="1"/>
  <c r="M13" i="1"/>
  <c r="C13" i="1"/>
  <c r="M12" i="1"/>
  <c r="C12" i="1"/>
  <c r="C19" i="1" s="1"/>
  <c r="C19" i="2" l="1"/>
  <c r="F23" i="2"/>
  <c r="M22" i="1"/>
  <c r="F23" i="1" s="1"/>
  <c r="F24" i="2" l="1"/>
  <c r="L23" i="2"/>
  <c r="L24" i="2" s="1"/>
  <c r="J23" i="2"/>
  <c r="J24" i="2" s="1"/>
  <c r="I23" i="2"/>
  <c r="I24" i="2" s="1"/>
  <c r="H23" i="2"/>
  <c r="H24" i="2" s="1"/>
  <c r="F24" i="1"/>
  <c r="L23" i="1"/>
  <c r="L24" i="1" s="1"/>
  <c r="I23" i="1"/>
  <c r="I24" i="1" s="1"/>
  <c r="H23" i="1"/>
  <c r="H24" i="1" s="1"/>
  <c r="J23" i="1"/>
  <c r="J24" i="1" s="1"/>
  <c r="M24" i="2" l="1"/>
  <c r="M23" i="2"/>
  <c r="M23" i="1"/>
  <c r="M2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QFD build</author>
  </authors>
  <commentList>
    <comment ref="E26" authorId="0" shapeId="0" xr:uid="{00000000-0006-0000-0000-000001000000}">
      <text>
        <r>
          <rPr>
            <sz val="10"/>
            <rFont val="Arial"/>
            <family val="2"/>
          </rPr>
          <t>Project-brief Absolute Importance values recorded for reference. The matrix-derived values in row 22 (Σ relationship × weight) are F=146, H=152, I=118, J=100, L=132. The computed ranking is the one consistent with the 1/3/9 matrix above.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QFD build</author>
  </authors>
  <commentList>
    <comment ref="E26" authorId="0" shapeId="0" xr:uid="{40E59731-10DF-E04A-8272-1A06A236BB6E}">
      <text>
        <r>
          <rPr>
            <sz val="10"/>
            <rFont val="Arial"/>
            <family val="2"/>
          </rPr>
          <t>Project-brief Absolute Importance values recorded for reference. The matrix-derived values in row 22 (Σ relationship × weight) are F=146, H=152, I=118, J=100, L=132. The computed ranking is the one consistent with the 1/3/9 matrix above.</t>
        </r>
      </text>
    </comment>
  </commentList>
</comments>
</file>

<file path=xl/sharedStrings.xml><?xml version="1.0" encoding="utf-8"?>
<sst xmlns="http://schemas.openxmlformats.org/spreadsheetml/2006/main" count="148" uniqueCount="73">
  <si>
    <t>Project title:</t>
  </si>
  <si>
    <t>Correlation:</t>
  </si>
  <si>
    <t>Project leader:</t>
  </si>
  <si>
    <t>+</t>
  </si>
  <si>
    <t>.</t>
  </si>
  <si>
    <t>-</t>
  </si>
  <si>
    <t>Date:</t>
  </si>
  <si>
    <t>April 2026</t>
  </si>
  <si>
    <t>Positive</t>
  </si>
  <si>
    <t>No correlation</t>
  </si>
  <si>
    <t>Negative</t>
  </si>
  <si>
    <t>Relationships:</t>
  </si>
  <si>
    <t>Desired direction of improvement (↑,0,↓)</t>
  </si>
  <si>
    <t>↑</t>
  </si>
  <si>
    <t>Strong</t>
  </si>
  <si>
    <t>Moderate</t>
  </si>
  <si>
    <t>Weak</t>
  </si>
  <si>
    <t>None</t>
  </si>
  <si>
    <t>1: low, 5: high</t>
  </si>
  <si>
    <t>Functional Requirements (How's)
→</t>
  </si>
  <si>
    <t>Cargo Reliability
(EC-1)</t>
  </si>
  <si>
    <t>Safety Stock Level
(EC-3)</t>
  </si>
  <si>
    <t>Mission Frequency
(EC-5)</t>
  </si>
  <si>
    <t>ISRU Integration
(EC-9)</t>
  </si>
  <si>
    <t>Multi-Provider Strategy
(EC-12)</t>
  </si>
  <si>
    <t>Competitive evaluation (1: low, 5: high)</t>
  </si>
  <si>
    <t>Customer Importance (1–5)</t>
  </si>
  <si>
    <t>Relative weight</t>
  </si>
  <si>
    <t>Classification rank</t>
  </si>
  <si>
    <t>Customer Requirements - (What's)
↓</t>
  </si>
  <si>
    <t>Weighted Score</t>
  </si>
  <si>
    <t>Satisfaction rating</t>
  </si>
  <si>
    <t>Competitor rating 1</t>
  </si>
  <si>
    <t>Competitor rating 2</t>
  </si>
  <si>
    <t>Competitor rating 3</t>
  </si>
  <si>
    <t>Crew Life Support Assurance</t>
  </si>
  <si>
    <t>Minimum Resupply Cost per kg</t>
  </si>
  <si>
    <t>Mission Schedule Reliability</t>
  </si>
  <si>
    <t>Emergency Response Capability</t>
  </si>
  <si>
    <t>Spares Availability</t>
  </si>
  <si>
    <t>Long-duration Autonomy</t>
  </si>
  <si>
    <t>Total score</t>
  </si>
  <si>
    <t>Target or Limit Value</t>
  </si>
  <si>
    <t>≥ 0.98</t>
  </si>
  <si>
    <t>≥ 30 days</t>
  </si>
  <si>
    <t>≥ 6 / yr</t>
  </si>
  <si>
    <t>≥ 50 %</t>
  </si>
  <si>
    <t>≥ 2 providers</t>
  </si>
  <si>
    <t>Weight/Importance</t>
  </si>
  <si>
    <t>Relative Weight</t>
  </si>
  <si>
    <t>Relative Weight 100%</t>
  </si>
  <si>
    <t>Priority Rank (from matrix)</t>
  </si>
  <si>
    <t>Declared Absolute Importance (brief)</t>
  </si>
  <si>
    <t>Declared Priority Rank (brief)</t>
  </si>
  <si>
    <t>2nd</t>
  </si>
  <si>
    <t>3rd</t>
  </si>
  <si>
    <t>4th</t>
  </si>
  <si>
    <t>5th</t>
  </si>
  <si>
    <t>1st</t>
  </si>
  <si>
    <t>1: very easy, 5: very difficult</t>
  </si>
  <si>
    <t>Comments / Conclusion:</t>
  </si>
  <si>
    <t>Continuous Improvement Toolkit . www.citoolkit.com</t>
  </si>
  <si>
    <t>Guide:</t>
  </si>
  <si>
    <t xml:space="preserve">   Fill in the What's the customer requirements and the importance rating per requirement.</t>
  </si>
  <si>
    <t xml:space="preserve">   Fill in the How's the processes or characteristics that are needed to meet the customer requirements.</t>
  </si>
  <si>
    <t xml:space="preserve">   Work through the matrix indicating the impact that the How's has on each customer requirement.</t>
  </si>
  <si>
    <t xml:space="preserve">   Look at the bottom and the right of the table to see which customer and functional requirements should be given more attention.</t>
  </si>
  <si>
    <t>Note:</t>
  </si>
  <si>
    <t xml:space="preserve">   You need to fill only the white and blue cells.</t>
  </si>
  <si>
    <t>Jagzimmer MEM, University of Leicester</t>
  </si>
  <si>
    <t xml:space="preserve">Lunar Gateway Supply Chain Optimisation </t>
  </si>
  <si>
    <t>Multi-Provider Strategy (EC-12) and Safety Stock Level (EC-3) emerge as the highest-priority engineering characteristics, driven by the 5-weight customer needs for crew life support and resupply economics. ISRU Integration (EC-9) is the lowest priority in this Phase-1 analysis  it dominates only Long-duration Autonomy, the lowest-weight need. Relationship scale: 9 = strong, 3 = moderate, 1 = weak.</t>
  </si>
  <si>
    <t>Quality Function Deployment - Lunar Gateway Supply Chain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</si>
</sst>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00%"/>
  </numFmts>
  <fonts count="20" x14ac:knownFonts="1">
    <font>
      <sz val="10"/>
      <name val="Arial"/>
      <charset val="1"/>
    </font>
    <font>
      <sz val="10"/>
      <name val="Arial"/>
      <family val="2"/>
    </font>
    <font>
      <sz val="9"/>
      <name val="Arial"/>
      <family val="2"/>
    </font>
    <font>
      <sz val="20"/>
      <name val="Arial"/>
      <family val="2"/>
    </font>
    <font>
      <sz val="9"/>
      <color rgb="FF0000CC"/>
      <name val="Arial"/>
      <family val="2"/>
    </font>
    <font>
      <b/>
      <sz val="9"/>
      <color theme="1" tint="0.24988555558946501"/>
      <name val="Arial"/>
      <family val="2"/>
    </font>
    <font>
      <sz val="9"/>
      <color theme="1" tint="0.24988555558946501"/>
      <name val="Arial"/>
      <family val="2"/>
    </font>
    <font>
      <b/>
      <sz val="9"/>
      <name val="Arial"/>
      <family val="2"/>
    </font>
    <font>
      <sz val="9"/>
      <color rgb="FF969696"/>
      <name val="Arial"/>
      <family val="2"/>
    </font>
    <font>
      <sz val="12"/>
      <color theme="1" tint="0.24988555558946501"/>
      <name val="Arial"/>
      <family val="2"/>
    </font>
    <font>
      <sz val="8"/>
      <color theme="1" tint="0.24988555558946501"/>
      <name val="Arial"/>
      <family val="2"/>
    </font>
    <font>
      <sz val="9"/>
      <color theme="1" tint="0.49989318521683401"/>
      <name val="Arial"/>
      <family val="2"/>
    </font>
    <font>
      <sz val="9"/>
      <color theme="0" tint="-0.499984740745262"/>
      <name val="Arial"/>
      <family val="2"/>
    </font>
    <font>
      <i/>
      <sz val="9"/>
      <name val="Arial"/>
      <family val="2"/>
    </font>
    <font>
      <sz val="11"/>
      <name val="Arial"/>
      <family val="2"/>
    </font>
    <font>
      <b/>
      <sz val="10"/>
      <color theme="1" tint="0.24988555558946501"/>
      <name val="Arial"/>
      <family val="2"/>
    </font>
    <font>
      <sz val="10"/>
      <color theme="1" tint="0.24988555558946501"/>
      <name val="Arial"/>
      <family val="2"/>
    </font>
    <font>
      <sz val="8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rgb="FFEAEAEA"/>
      </patternFill>
    </fill>
    <fill>
      <patternFill patternType="solid">
        <fgColor theme="0"/>
        <bgColor rgb="FFF2F2F2"/>
      </patternFill>
    </fill>
    <fill>
      <patternFill patternType="solid">
        <fgColor rgb="FFEAEAEA"/>
        <bgColor rgb="FFF2F2F2"/>
      </patternFill>
    </fill>
    <fill>
      <patternFill patternType="solid">
        <fgColor rgb="FFCCFFFF"/>
        <bgColor rgb="FFF2F2F2"/>
      </patternFill>
    </fill>
    <fill>
      <patternFill patternType="solid">
        <fgColor theme="0" tint="-4.9989318521683403E-2"/>
        <bgColor rgb="FFEAEAEA"/>
      </patternFill>
    </fill>
    <fill>
      <patternFill patternType="solid">
        <fgColor rgb="FFFFC000"/>
        <bgColor rgb="FFD9D9D9"/>
      </patternFill>
    </fill>
    <fill>
      <patternFill patternType="solid">
        <fgColor rgb="FF0070C0"/>
        <bgColor rgb="FFF2F2F2"/>
      </patternFill>
    </fill>
  </fills>
  <borders count="2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/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2" borderId="0" xfId="0" applyFont="1" applyFill="1" applyAlignment="1">
      <alignment horizont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6" fillId="3" borderId="2" xfId="0" applyFont="1" applyFill="1" applyBorder="1" applyAlignment="1" applyProtection="1">
      <alignment horizontal="center" vertical="center"/>
      <protection locked="0"/>
    </xf>
    <xf numFmtId="164" fontId="6" fillId="3" borderId="2" xfId="0" applyNumberFormat="1" applyFont="1" applyFill="1" applyBorder="1" applyAlignment="1" applyProtection="1">
      <alignment horizontal="center" vertical="center"/>
      <protection locked="0"/>
    </xf>
    <xf numFmtId="0" fontId="2" fillId="5" borderId="9" xfId="0" applyFont="1" applyFill="1" applyBorder="1" applyAlignment="1" applyProtection="1">
      <alignment horizontal="left" vertical="center" wrapText="1"/>
      <protection locked="0"/>
    </xf>
    <xf numFmtId="0" fontId="2" fillId="3" borderId="2" xfId="0" applyFont="1" applyFill="1" applyBorder="1" applyAlignment="1" applyProtection="1">
      <alignment horizontal="center" vertical="center"/>
      <protection locked="0"/>
    </xf>
    <xf numFmtId="0" fontId="12" fillId="4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 applyProtection="1">
      <alignment horizontal="center" vertical="center"/>
      <protection locked="0"/>
    </xf>
    <xf numFmtId="0" fontId="2" fillId="3" borderId="6" xfId="0" applyFont="1" applyFill="1" applyBorder="1" applyAlignment="1" applyProtection="1">
      <alignment horizontal="center" vertical="center"/>
      <protection locked="0"/>
    </xf>
    <xf numFmtId="0" fontId="2" fillId="5" borderId="2" xfId="0" applyFont="1" applyFill="1" applyBorder="1" applyAlignment="1" applyProtection="1">
      <alignment horizontal="left" vertical="center" wrapText="1"/>
      <protection locked="0"/>
    </xf>
    <xf numFmtId="0" fontId="2" fillId="3" borderId="10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vertical="center"/>
    </xf>
    <xf numFmtId="0" fontId="2" fillId="4" borderId="6" xfId="0" applyFont="1" applyFill="1" applyBorder="1" applyAlignment="1">
      <alignment horizontal="right" vertical="center"/>
    </xf>
    <xf numFmtId="0" fontId="13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right" vertical="center"/>
    </xf>
    <xf numFmtId="165" fontId="2" fillId="4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12" fillId="2" borderId="0" xfId="0" applyNumberFormat="1" applyFont="1" applyFill="1" applyAlignment="1">
      <alignment horizontal="center"/>
    </xf>
    <xf numFmtId="164" fontId="7" fillId="4" borderId="2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164" fontId="12" fillId="2" borderId="0" xfId="0" applyNumberFormat="1" applyFont="1" applyFill="1" applyAlignment="1">
      <alignment horizontal="center"/>
    </xf>
    <xf numFmtId="0" fontId="2" fillId="2" borderId="12" xfId="0" applyFont="1" applyFill="1" applyBorder="1" applyAlignment="1">
      <alignment vertical="center"/>
    </xf>
    <xf numFmtId="164" fontId="2" fillId="3" borderId="13" xfId="0" applyNumberFormat="1" applyFont="1" applyFill="1" applyBorder="1" applyAlignment="1" applyProtection="1">
      <alignment horizontal="center" vertical="center"/>
      <protection locked="0"/>
    </xf>
    <xf numFmtId="166" fontId="2" fillId="3" borderId="13" xfId="0" applyNumberFormat="1" applyFont="1" applyFill="1" applyBorder="1" applyAlignment="1" applyProtection="1">
      <alignment horizontal="center" vertical="center"/>
      <protection locked="0"/>
    </xf>
    <xf numFmtId="0" fontId="7" fillId="4" borderId="3" xfId="0" applyFont="1" applyFill="1" applyBorder="1" applyAlignment="1">
      <alignment horizontal="left" vertical="center"/>
    </xf>
    <xf numFmtId="0" fontId="7" fillId="4" borderId="4" xfId="0" applyFont="1" applyFill="1" applyBorder="1" applyAlignment="1" applyProtection="1">
      <alignment horizontal="center" vertical="center"/>
      <protection locked="0"/>
    </xf>
    <xf numFmtId="0" fontId="2" fillId="3" borderId="4" xfId="0" applyFont="1" applyFill="1" applyBorder="1" applyAlignment="1" applyProtection="1">
      <alignment horizontal="center" vertical="center"/>
      <protection locked="0"/>
    </xf>
    <xf numFmtId="0" fontId="13" fillId="4" borderId="3" xfId="0" applyFont="1" applyFill="1" applyBorder="1" applyAlignment="1">
      <alignment horizontal="left" vertical="center"/>
    </xf>
    <xf numFmtId="0" fontId="13" fillId="3" borderId="4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Alignment="1">
      <alignment horizontal="left"/>
    </xf>
    <xf numFmtId="0" fontId="2" fillId="4" borderId="3" xfId="0" applyFont="1" applyFill="1" applyBorder="1" applyAlignment="1">
      <alignment horizontal="right" vertical="center"/>
    </xf>
    <xf numFmtId="0" fontId="7" fillId="4" borderId="7" xfId="0" applyFont="1" applyFill="1" applyBorder="1" applyAlignment="1">
      <alignment horizontal="right" vertical="center"/>
    </xf>
    <xf numFmtId="0" fontId="7" fillId="3" borderId="2" xfId="0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Alignment="1">
      <alignment horizontal="right"/>
    </xf>
    <xf numFmtId="0" fontId="11" fillId="2" borderId="0" xfId="0" applyFont="1" applyFill="1" applyAlignment="1">
      <alignment horizontal="center" vertical="center"/>
    </xf>
    <xf numFmtId="0" fontId="1" fillId="2" borderId="0" xfId="0" applyFont="1" applyFill="1"/>
    <xf numFmtId="0" fontId="2" fillId="3" borderId="15" xfId="0" applyFont="1" applyFill="1" applyBorder="1" applyAlignment="1" applyProtection="1">
      <alignment vertical="center"/>
      <protection locked="0"/>
    </xf>
    <xf numFmtId="0" fontId="2" fillId="3" borderId="16" xfId="0" applyFont="1" applyFill="1" applyBorder="1" applyAlignment="1" applyProtection="1">
      <alignment vertical="center"/>
      <protection locked="0"/>
    </xf>
    <xf numFmtId="0" fontId="2" fillId="3" borderId="17" xfId="0" applyFont="1" applyFill="1" applyBorder="1" applyProtection="1">
      <protection locked="0"/>
    </xf>
    <xf numFmtId="0" fontId="2" fillId="3" borderId="0" xfId="0" applyFont="1" applyFill="1" applyProtection="1">
      <protection locked="0"/>
    </xf>
    <xf numFmtId="0" fontId="2" fillId="3" borderId="0" xfId="0" applyFont="1" applyFill="1" applyAlignment="1" applyProtection="1">
      <alignment vertical="center"/>
      <protection locked="0"/>
    </xf>
    <xf numFmtId="0" fontId="2" fillId="3" borderId="18" xfId="0" applyFont="1" applyFill="1" applyBorder="1" applyAlignment="1" applyProtection="1">
      <alignment vertical="center"/>
      <protection locked="0"/>
    </xf>
    <xf numFmtId="0" fontId="2" fillId="3" borderId="19" xfId="0" applyFont="1" applyFill="1" applyBorder="1" applyProtection="1">
      <protection locked="0"/>
    </xf>
    <xf numFmtId="0" fontId="2" fillId="3" borderId="20" xfId="0" applyFont="1" applyFill="1" applyBorder="1" applyProtection="1">
      <protection locked="0"/>
    </xf>
    <xf numFmtId="0" fontId="2" fillId="3" borderId="21" xfId="0" applyFont="1" applyFill="1" applyBorder="1" applyProtection="1">
      <protection locked="0"/>
    </xf>
    <xf numFmtId="0" fontId="15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6" fillId="2" borderId="0" xfId="0" applyFont="1" applyFill="1"/>
    <xf numFmtId="0" fontId="17" fillId="8" borderId="2" xfId="0" applyFont="1" applyFill="1" applyBorder="1" applyAlignment="1">
      <alignment horizontal="right" vertical="center"/>
    </xf>
    <xf numFmtId="0" fontId="18" fillId="8" borderId="4" xfId="0" applyFont="1" applyFill="1" applyBorder="1" applyAlignment="1">
      <alignment horizontal="right" vertical="center" wrapText="1"/>
    </xf>
    <xf numFmtId="0" fontId="18" fillId="8" borderId="6" xfId="0" applyFont="1" applyFill="1" applyBorder="1" applyAlignment="1">
      <alignment horizontal="center" wrapText="1"/>
    </xf>
    <xf numFmtId="0" fontId="19" fillId="8" borderId="3" xfId="0" applyFont="1" applyFill="1" applyBorder="1" applyAlignment="1" applyProtection="1">
      <alignment horizontal="center" vertical="center"/>
      <protection locked="0"/>
    </xf>
    <xf numFmtId="0" fontId="18" fillId="8" borderId="3" xfId="0" applyFont="1" applyFill="1" applyBorder="1" applyAlignment="1" applyProtection="1">
      <alignment horizontal="center" vertical="center"/>
      <protection locked="0"/>
    </xf>
    <xf numFmtId="0" fontId="19" fillId="8" borderId="4" xfId="0" applyFont="1" applyFill="1" applyBorder="1" applyAlignment="1" applyProtection="1">
      <alignment horizontal="center" vertical="center"/>
      <protection locked="0"/>
    </xf>
    <xf numFmtId="0" fontId="18" fillId="8" borderId="4" xfId="0" applyFont="1" applyFill="1" applyBorder="1" applyAlignment="1" applyProtection="1">
      <alignment horizontal="center" vertical="center"/>
      <protection locked="0"/>
    </xf>
    <xf numFmtId="0" fontId="18" fillId="8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 applyProtection="1">
      <alignment horizontal="center" vertical="center" wrapText="1"/>
      <protection locked="0"/>
    </xf>
    <xf numFmtId="0" fontId="7" fillId="7" borderId="2" xfId="0" applyFont="1" applyFill="1" applyBorder="1" applyAlignment="1" applyProtection="1">
      <alignment horizontal="center" vertical="center" wrapText="1"/>
      <protection locked="0"/>
    </xf>
    <xf numFmtId="0" fontId="11" fillId="2" borderId="5" xfId="0" applyFont="1" applyFill="1" applyBorder="1" applyAlignment="1">
      <alignment horizontal="center"/>
    </xf>
    <xf numFmtId="0" fontId="11" fillId="2" borderId="11" xfId="0" applyFont="1" applyFill="1" applyBorder="1" applyAlignment="1">
      <alignment horizontal="center"/>
    </xf>
    <xf numFmtId="0" fontId="14" fillId="6" borderId="0" xfId="0" applyFont="1" applyFill="1" applyAlignment="1">
      <alignment horizontal="center" vertical="center"/>
    </xf>
    <xf numFmtId="0" fontId="14" fillId="3" borderId="14" xfId="0" applyFont="1" applyFill="1" applyBorder="1" applyAlignment="1" applyProtection="1">
      <alignment horizontal="left" vertical="top" wrapText="1"/>
      <protection locked="0"/>
    </xf>
    <xf numFmtId="0" fontId="14" fillId="3" borderId="15" xfId="0" applyFont="1" applyFill="1" applyBorder="1" applyAlignment="1" applyProtection="1">
      <alignment horizontal="left" vertical="top" wrapText="1"/>
      <protection locked="0"/>
    </xf>
    <xf numFmtId="0" fontId="11" fillId="2" borderId="2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A6A6A6"/>
      <rgbColor rgb="FF993366"/>
      <rgbColor rgb="FFF2F2F2"/>
      <rgbColor rgb="FFCCFFFF"/>
      <rgbColor rgb="FF660066"/>
      <rgbColor rgb="FFFF8080"/>
      <rgbColor rgb="FF0066CC"/>
      <rgbColor rgb="FFC3E1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AEA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F7F7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iofleicester-my.sharepoint.com/C:/Users/dsaadeddin/Desktop/QFD/House%20of%20Quality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use of Quality 1"/>
      <sheetName val="Data Validation Sources"/>
      <sheetName val="House of Quality 2"/>
      <sheetName val="House of Quality 3"/>
      <sheetName val="House of Quality 4"/>
      <sheetName val="Abou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"/>
  <sheetViews>
    <sheetView showGridLines="0" zoomScale="111" zoomScaleNormal="100" workbookViewId="0">
      <selection activeCell="M1" sqref="M1:R1048576"/>
    </sheetView>
  </sheetViews>
  <sheetFormatPr baseColWidth="10" defaultColWidth="8.83203125" defaultRowHeight="12" x14ac:dyDescent="0.15"/>
  <cols>
    <col min="1" max="1" width="2.6640625" style="1" customWidth="1"/>
    <col min="2" max="2" width="17.5" style="1" customWidth="1"/>
    <col min="3" max="3" width="14.83203125" style="1" customWidth="1"/>
    <col min="4" max="4" width="12.33203125" style="1" customWidth="1"/>
    <col min="5" max="5" width="40.33203125" style="1" bestFit="1" customWidth="1"/>
    <col min="6" max="17" width="10.6640625" style="1" customWidth="1"/>
    <col min="18" max="18" width="2.6640625" style="1" customWidth="1"/>
    <col min="19" max="16384" width="8.83203125" style="1"/>
  </cols>
  <sheetData>
    <row r="1" spans="1:17" ht="25.5" customHeight="1" x14ac:dyDescent="0.25">
      <c r="D1" s="2" t="s">
        <v>72</v>
      </c>
    </row>
    <row r="2" spans="1:17" ht="15" customHeight="1" x14ac:dyDescent="0.15">
      <c r="D2" s="3"/>
      <c r="J2" s="4"/>
      <c r="K2" s="4"/>
      <c r="L2" s="4"/>
      <c r="O2" s="5"/>
      <c r="P2" s="6"/>
    </row>
    <row r="3" spans="1:17" ht="15" customHeight="1" x14ac:dyDescent="0.15">
      <c r="D3" s="3" t="s">
        <v>0</v>
      </c>
      <c r="E3" s="7" t="s">
        <v>70</v>
      </c>
      <c r="F3" s="3"/>
      <c r="G3" s="3"/>
      <c r="H3" s="4"/>
      <c r="I3" s="8"/>
      <c r="J3" s="3"/>
      <c r="K3" s="3"/>
      <c r="N3" s="9" t="s">
        <v>1</v>
      </c>
      <c r="O3" s="10"/>
      <c r="P3" s="11"/>
    </row>
    <row r="4" spans="1:17" ht="15" customHeight="1" x14ac:dyDescent="0.15">
      <c r="D4" s="3" t="s">
        <v>2</v>
      </c>
      <c r="E4" s="7" t="s">
        <v>69</v>
      </c>
      <c r="F4" s="3"/>
      <c r="G4" s="3"/>
      <c r="H4" s="4"/>
      <c r="I4" s="8"/>
      <c r="J4" s="3"/>
      <c r="K4" s="3"/>
      <c r="N4" s="12" t="s">
        <v>3</v>
      </c>
      <c r="O4" s="12" t="s">
        <v>4</v>
      </c>
      <c r="P4" s="12" t="s">
        <v>5</v>
      </c>
    </row>
    <row r="5" spans="1:17" ht="15" customHeight="1" x14ac:dyDescent="0.15">
      <c r="D5" s="3" t="s">
        <v>6</v>
      </c>
      <c r="E5" s="7" t="s">
        <v>7</v>
      </c>
      <c r="F5" s="3"/>
      <c r="G5" s="3"/>
      <c r="H5" s="4"/>
      <c r="I5" s="8"/>
      <c r="J5" s="3"/>
      <c r="K5" s="3"/>
      <c r="N5" s="13" t="s">
        <v>8</v>
      </c>
      <c r="O5" s="14" t="s">
        <v>9</v>
      </c>
      <c r="P5" s="13" t="s">
        <v>10</v>
      </c>
    </row>
    <row r="6" spans="1:17" ht="15" customHeight="1" x14ac:dyDescent="0.15">
      <c r="D6" s="3"/>
      <c r="E6" s="4"/>
      <c r="F6" s="3"/>
      <c r="G6" s="3"/>
      <c r="H6" s="4"/>
      <c r="I6" s="8"/>
      <c r="J6" s="3"/>
      <c r="K6" s="3"/>
      <c r="O6" s="10"/>
      <c r="P6" s="11"/>
    </row>
    <row r="7" spans="1:17" ht="15" customHeight="1" x14ac:dyDescent="0.15">
      <c r="D7" s="3"/>
      <c r="E7" s="15"/>
      <c r="F7" s="3"/>
      <c r="G7" s="3"/>
      <c r="H7" s="4"/>
      <c r="I7" s="8"/>
      <c r="J7" s="3"/>
      <c r="K7" s="3"/>
      <c r="N7" s="9" t="s">
        <v>11</v>
      </c>
      <c r="O7" s="10"/>
      <c r="P7" s="11"/>
    </row>
    <row r="8" spans="1:17" ht="15" customHeight="1" x14ac:dyDescent="0.15">
      <c r="D8" s="3"/>
      <c r="E8" s="4"/>
      <c r="F8" s="3"/>
      <c r="G8" s="3"/>
      <c r="H8" s="4"/>
      <c r="I8" s="8"/>
      <c r="J8" s="3"/>
      <c r="K8" s="3"/>
      <c r="L8" s="4"/>
      <c r="N8" s="16">
        <v>9</v>
      </c>
      <c r="O8" s="16">
        <v>3</v>
      </c>
      <c r="P8" s="16">
        <v>1</v>
      </c>
      <c r="Q8" s="16"/>
    </row>
    <row r="9" spans="1:17" ht="15" customHeight="1" x14ac:dyDescent="0.15">
      <c r="D9" s="3"/>
      <c r="E9" s="71" t="s">
        <v>12</v>
      </c>
      <c r="F9" s="74" t="s">
        <v>13</v>
      </c>
      <c r="G9" s="75"/>
      <c r="H9" s="76" t="s">
        <v>13</v>
      </c>
      <c r="I9" s="76" t="s">
        <v>13</v>
      </c>
      <c r="J9" s="76" t="s">
        <v>13</v>
      </c>
      <c r="K9" s="77"/>
      <c r="L9" s="76" t="s">
        <v>13</v>
      </c>
      <c r="N9" s="13" t="s">
        <v>14</v>
      </c>
      <c r="O9" s="13" t="s">
        <v>15</v>
      </c>
      <c r="P9" s="13" t="s">
        <v>16</v>
      </c>
      <c r="Q9" s="13" t="s">
        <v>17</v>
      </c>
    </row>
    <row r="10" spans="1:17" ht="25.5" customHeight="1" x14ac:dyDescent="0.15">
      <c r="D10" s="17" t="s">
        <v>18</v>
      </c>
      <c r="E10" s="72" t="s">
        <v>19</v>
      </c>
      <c r="F10" s="80" t="s">
        <v>20</v>
      </c>
      <c r="G10" s="79"/>
      <c r="H10" s="80" t="s">
        <v>21</v>
      </c>
      <c r="I10" s="80" t="s">
        <v>22</v>
      </c>
      <c r="J10" s="80" t="s">
        <v>23</v>
      </c>
      <c r="K10" s="79"/>
      <c r="L10" s="80" t="s">
        <v>24</v>
      </c>
      <c r="N10" s="81" t="s">
        <v>25</v>
      </c>
      <c r="O10" s="81"/>
      <c r="P10" s="81"/>
      <c r="Q10" s="81"/>
    </row>
    <row r="11" spans="1:17" ht="51.75" customHeight="1" x14ac:dyDescent="0.15">
      <c r="A11" s="8"/>
      <c r="B11" s="78" t="s">
        <v>26</v>
      </c>
      <c r="C11" s="78" t="s">
        <v>27</v>
      </c>
      <c r="D11" s="78" t="s">
        <v>28</v>
      </c>
      <c r="E11" s="73" t="s">
        <v>29</v>
      </c>
      <c r="F11" s="80"/>
      <c r="G11" s="80"/>
      <c r="H11" s="80"/>
      <c r="I11" s="80"/>
      <c r="J11" s="80"/>
      <c r="K11" s="80"/>
      <c r="L11" s="80"/>
      <c r="M11" s="19" t="s">
        <v>30</v>
      </c>
      <c r="N11" s="20" t="s">
        <v>31</v>
      </c>
      <c r="O11" s="18" t="s">
        <v>32</v>
      </c>
      <c r="P11" s="18" t="s">
        <v>33</v>
      </c>
      <c r="Q11" s="18" t="s">
        <v>34</v>
      </c>
    </row>
    <row r="12" spans="1:17" ht="15" customHeight="1" x14ac:dyDescent="0.15">
      <c r="A12" s="21">
        <v>1</v>
      </c>
      <c r="B12" s="22">
        <v>5</v>
      </c>
      <c r="C12" s="23">
        <f t="shared" ref="C12:C17" si="0">B12/SUM($B$12:$B$17)</f>
        <v>0.19230769230769232</v>
      </c>
      <c r="D12" s="22">
        <v>1</v>
      </c>
      <c r="E12" s="24" t="s">
        <v>35</v>
      </c>
      <c r="F12" s="25">
        <v>9</v>
      </c>
      <c r="G12" s="25"/>
      <c r="H12" s="25">
        <v>9</v>
      </c>
      <c r="I12" s="25">
        <v>3</v>
      </c>
      <c r="J12" s="25">
        <v>1</v>
      </c>
      <c r="K12" s="25"/>
      <c r="L12" s="25">
        <v>3</v>
      </c>
      <c r="M12" s="26">
        <f t="shared" ref="M12:M20" si="1">(F12*D12)+(H12*D12)+(I12*D12)+(J12*D12)+(L12*D12)</f>
        <v>25</v>
      </c>
      <c r="N12" s="27"/>
      <c r="O12" s="28"/>
      <c r="P12" s="27"/>
      <c r="Q12" s="28"/>
    </row>
    <row r="13" spans="1:17" ht="15" customHeight="1" x14ac:dyDescent="0.15">
      <c r="A13" s="21">
        <v>2</v>
      </c>
      <c r="B13" s="22">
        <v>5</v>
      </c>
      <c r="C13" s="23">
        <f t="shared" si="0"/>
        <v>0.19230769230769232</v>
      </c>
      <c r="D13" s="22">
        <v>2</v>
      </c>
      <c r="E13" s="29" t="s">
        <v>36</v>
      </c>
      <c r="F13" s="25">
        <v>3</v>
      </c>
      <c r="G13" s="25"/>
      <c r="H13" s="25">
        <v>1</v>
      </c>
      <c r="I13" s="25">
        <v>9</v>
      </c>
      <c r="J13" s="25">
        <v>9</v>
      </c>
      <c r="K13" s="25"/>
      <c r="L13" s="25">
        <v>9</v>
      </c>
      <c r="M13" s="26">
        <f t="shared" si="1"/>
        <v>62</v>
      </c>
      <c r="N13" s="30"/>
      <c r="O13" s="25"/>
      <c r="P13" s="30"/>
      <c r="Q13" s="25"/>
    </row>
    <row r="14" spans="1:17" ht="15" customHeight="1" x14ac:dyDescent="0.15">
      <c r="A14" s="21">
        <v>3</v>
      </c>
      <c r="B14" s="22">
        <v>4</v>
      </c>
      <c r="C14" s="23">
        <f t="shared" si="0"/>
        <v>0.15384615384615385</v>
      </c>
      <c r="D14" s="22">
        <v>3</v>
      </c>
      <c r="E14" s="29" t="s">
        <v>37</v>
      </c>
      <c r="F14" s="25">
        <v>9</v>
      </c>
      <c r="G14" s="25"/>
      <c r="H14" s="25">
        <v>3</v>
      </c>
      <c r="I14" s="25">
        <v>9</v>
      </c>
      <c r="J14" s="25">
        <v>1</v>
      </c>
      <c r="K14" s="25"/>
      <c r="L14" s="25">
        <v>9</v>
      </c>
      <c r="M14" s="26">
        <f t="shared" si="1"/>
        <v>93</v>
      </c>
      <c r="N14" s="30"/>
      <c r="O14" s="25"/>
      <c r="P14" s="30"/>
      <c r="Q14" s="25"/>
    </row>
    <row r="15" spans="1:17" ht="15" customHeight="1" x14ac:dyDescent="0.15">
      <c r="A15" s="21">
        <v>4</v>
      </c>
      <c r="B15" s="22">
        <v>5</v>
      </c>
      <c r="C15" s="23">
        <f t="shared" si="0"/>
        <v>0.19230769230769232</v>
      </c>
      <c r="D15" s="22">
        <v>4</v>
      </c>
      <c r="E15" s="29" t="s">
        <v>38</v>
      </c>
      <c r="F15" s="25">
        <v>1</v>
      </c>
      <c r="G15" s="25"/>
      <c r="H15" s="25">
        <v>9</v>
      </c>
      <c r="I15" s="25">
        <v>3</v>
      </c>
      <c r="J15" s="25">
        <v>3</v>
      </c>
      <c r="K15" s="25"/>
      <c r="L15" s="25">
        <v>3</v>
      </c>
      <c r="M15" s="26">
        <f t="shared" si="1"/>
        <v>76</v>
      </c>
      <c r="N15" s="30"/>
      <c r="O15" s="25"/>
      <c r="P15" s="30"/>
      <c r="Q15" s="25"/>
    </row>
    <row r="16" spans="1:17" ht="15" customHeight="1" x14ac:dyDescent="0.15">
      <c r="A16" s="21">
        <v>5</v>
      </c>
      <c r="B16" s="22">
        <v>4</v>
      </c>
      <c r="C16" s="23">
        <f t="shared" si="0"/>
        <v>0.15384615384615385</v>
      </c>
      <c r="D16" s="22">
        <v>5</v>
      </c>
      <c r="E16" s="29" t="s">
        <v>39</v>
      </c>
      <c r="F16" s="25">
        <v>9</v>
      </c>
      <c r="G16" s="25"/>
      <c r="H16" s="25">
        <v>9</v>
      </c>
      <c r="I16" s="25">
        <v>1</v>
      </c>
      <c r="J16" s="25">
        <v>1</v>
      </c>
      <c r="K16" s="25"/>
      <c r="L16" s="25">
        <v>3</v>
      </c>
      <c r="M16" s="26">
        <f t="shared" si="1"/>
        <v>115</v>
      </c>
      <c r="N16" s="30"/>
      <c r="O16" s="25"/>
      <c r="P16" s="30"/>
      <c r="Q16" s="25"/>
    </row>
    <row r="17" spans="1:17" ht="15" customHeight="1" x14ac:dyDescent="0.15">
      <c r="A17" s="21">
        <v>6</v>
      </c>
      <c r="B17" s="22">
        <v>3</v>
      </c>
      <c r="C17" s="23">
        <f t="shared" si="0"/>
        <v>0.11538461538461539</v>
      </c>
      <c r="D17" s="22">
        <v>6</v>
      </c>
      <c r="E17" s="29" t="s">
        <v>40</v>
      </c>
      <c r="F17" s="25">
        <v>3</v>
      </c>
      <c r="G17" s="25"/>
      <c r="H17" s="25">
        <v>3</v>
      </c>
      <c r="I17" s="25">
        <v>1</v>
      </c>
      <c r="J17" s="25">
        <v>9</v>
      </c>
      <c r="K17" s="25"/>
      <c r="L17" s="25">
        <v>3</v>
      </c>
      <c r="M17" s="26">
        <f t="shared" si="1"/>
        <v>114</v>
      </c>
      <c r="N17" s="30"/>
      <c r="O17" s="25"/>
      <c r="P17" s="30"/>
      <c r="Q17" s="25"/>
    </row>
    <row r="18" spans="1:17" ht="15" customHeight="1" x14ac:dyDescent="0.15">
      <c r="A18" s="21"/>
      <c r="B18" s="22"/>
      <c r="C18" s="22"/>
      <c r="D18" s="22"/>
      <c r="E18" s="29"/>
      <c r="F18" s="25"/>
      <c r="G18" s="25"/>
      <c r="H18" s="25"/>
      <c r="I18" s="25"/>
      <c r="J18" s="25"/>
      <c r="K18" s="25"/>
      <c r="L18" s="25"/>
      <c r="M18" s="26">
        <f t="shared" si="1"/>
        <v>0</v>
      </c>
      <c r="N18" s="30"/>
      <c r="O18" s="25"/>
      <c r="P18" s="30"/>
      <c r="Q18" s="25"/>
    </row>
    <row r="19" spans="1:17" ht="15" customHeight="1" x14ac:dyDescent="0.15">
      <c r="A19" s="21">
        <v>8</v>
      </c>
      <c r="B19" s="22" t="s">
        <v>41</v>
      </c>
      <c r="C19" s="23">
        <f>SUM(C12:C18)</f>
        <v>1</v>
      </c>
      <c r="D19" s="22"/>
      <c r="E19" s="29"/>
      <c r="F19" s="25"/>
      <c r="G19" s="25"/>
      <c r="H19" s="25"/>
      <c r="I19" s="25"/>
      <c r="J19" s="25"/>
      <c r="K19" s="25"/>
      <c r="L19" s="25"/>
      <c r="M19" s="26">
        <f t="shared" si="1"/>
        <v>0</v>
      </c>
      <c r="N19" s="30"/>
      <c r="O19" s="25"/>
      <c r="P19" s="30"/>
      <c r="Q19" s="25"/>
    </row>
    <row r="20" spans="1:17" ht="15" customHeight="1" x14ac:dyDescent="0.15">
      <c r="A20" s="21">
        <v>9</v>
      </c>
      <c r="B20" s="22"/>
      <c r="C20" s="22"/>
      <c r="D20" s="22"/>
      <c r="E20" s="29"/>
      <c r="F20" s="25"/>
      <c r="G20" s="25"/>
      <c r="H20" s="25"/>
      <c r="I20" s="25"/>
      <c r="J20" s="25"/>
      <c r="K20" s="25"/>
      <c r="L20" s="25"/>
      <c r="M20" s="26">
        <f t="shared" si="1"/>
        <v>0</v>
      </c>
      <c r="N20" s="30"/>
      <c r="O20" s="25"/>
      <c r="P20" s="30"/>
      <c r="Q20" s="25"/>
    </row>
    <row r="21" spans="1:17" ht="12.75" customHeight="1" x14ac:dyDescent="0.15">
      <c r="D21" s="31"/>
      <c r="E21" s="32" t="s">
        <v>42</v>
      </c>
      <c r="F21" s="33" t="s">
        <v>43</v>
      </c>
      <c r="G21" s="34"/>
      <c r="H21" s="33" t="s">
        <v>44</v>
      </c>
      <c r="I21" s="33" t="s">
        <v>45</v>
      </c>
      <c r="J21" s="33" t="s">
        <v>46</v>
      </c>
      <c r="K21" s="34"/>
      <c r="L21" s="33" t="s">
        <v>47</v>
      </c>
      <c r="M21" s="35"/>
      <c r="N21" s="82"/>
      <c r="O21" s="82"/>
      <c r="P21" s="82"/>
      <c r="Q21" s="82"/>
    </row>
    <row r="22" spans="1:17" ht="12.75" customHeight="1" x14ac:dyDescent="0.15">
      <c r="D22" s="31"/>
      <c r="E22" s="36" t="s">
        <v>48</v>
      </c>
      <c r="F22" s="37">
        <f>F12*B12+F14*B14+F15*B15+F16*B16+F17*B17+F13*B13</f>
        <v>146</v>
      </c>
      <c r="G22" s="38"/>
      <c r="H22" s="37">
        <f>H12*B12+H14*B14+H15*B15+H16*B16+H17*B17+H13*B13</f>
        <v>152</v>
      </c>
      <c r="I22" s="37">
        <f>I12*B12+I14*B14+I15*B15+I16*B16+I17*B17+I13*B13</f>
        <v>118</v>
      </c>
      <c r="J22" s="37">
        <f>J12*B12+J14*B14+J15*B15+J16*B16+J17*B17+J13*B13</f>
        <v>100</v>
      </c>
      <c r="K22" s="38"/>
      <c r="L22" s="37">
        <f>L12*B12+L14*B14+L15*B15+L16*B16+L17*B17+L13*B13</f>
        <v>132</v>
      </c>
      <c r="M22" s="39">
        <f>F22+H22+I22+J22+L22</f>
        <v>648</v>
      </c>
    </row>
    <row r="23" spans="1:17" ht="12.75" customHeight="1" x14ac:dyDescent="0.15">
      <c r="D23" s="31"/>
      <c r="E23" s="36" t="s">
        <v>49</v>
      </c>
      <c r="F23" s="40">
        <f>F22/$M$22</f>
        <v>0.22530864197530864</v>
      </c>
      <c r="G23" s="41"/>
      <c r="H23" s="40">
        <f>H22/$M$22</f>
        <v>0.23456790123456789</v>
      </c>
      <c r="I23" s="40">
        <f>I22/$M$22</f>
        <v>0.18209876543209877</v>
      </c>
      <c r="J23" s="40">
        <f>J22/$M$22</f>
        <v>0.15432098765432098</v>
      </c>
      <c r="K23" s="41"/>
      <c r="L23" s="40">
        <f>L22/$M$22</f>
        <v>0.20370370370370369</v>
      </c>
      <c r="M23" s="42">
        <f>F23+H23+I23+J23+L23</f>
        <v>1</v>
      </c>
    </row>
    <row r="24" spans="1:17" ht="12.75" customHeight="1" x14ac:dyDescent="0.15">
      <c r="D24" s="43"/>
      <c r="E24" s="36" t="s">
        <v>50</v>
      </c>
      <c r="F24" s="44">
        <f>F23</f>
        <v>0.22530864197530864</v>
      </c>
      <c r="G24" s="45"/>
      <c r="H24" s="44">
        <f>H23</f>
        <v>0.23456790123456789</v>
      </c>
      <c r="I24" s="44">
        <f>I23</f>
        <v>0.18209876543209877</v>
      </c>
      <c r="J24" s="44">
        <f>J23</f>
        <v>0.15432098765432098</v>
      </c>
      <c r="K24" s="45"/>
      <c r="L24" s="44">
        <f>L23</f>
        <v>0.20370370370370369</v>
      </c>
      <c r="M24" s="42">
        <f>F24+H24+I24+J24+L24</f>
        <v>1</v>
      </c>
    </row>
    <row r="25" spans="1:17" ht="12.75" customHeight="1" x14ac:dyDescent="0.15">
      <c r="D25" s="43"/>
      <c r="E25" s="46" t="s">
        <v>51</v>
      </c>
      <c r="F25" s="47">
        <v>2</v>
      </c>
      <c r="G25" s="48"/>
      <c r="H25" s="47">
        <v>1</v>
      </c>
      <c r="I25" s="47">
        <v>4</v>
      </c>
      <c r="J25" s="47">
        <v>5</v>
      </c>
      <c r="K25" s="48"/>
      <c r="L25" s="47">
        <v>3</v>
      </c>
      <c r="M25" s="17"/>
    </row>
    <row r="26" spans="1:17" ht="12.75" customHeight="1" x14ac:dyDescent="0.15">
      <c r="D26" s="43"/>
      <c r="E26" s="49" t="s">
        <v>52</v>
      </c>
      <c r="F26" s="50">
        <v>167</v>
      </c>
      <c r="G26" s="48"/>
      <c r="H26" s="50">
        <v>173</v>
      </c>
      <c r="I26" s="50">
        <v>147</v>
      </c>
      <c r="J26" s="50">
        <v>106</v>
      </c>
      <c r="K26" s="48"/>
      <c r="L26" s="50">
        <v>174</v>
      </c>
      <c r="M26" s="17"/>
    </row>
    <row r="27" spans="1:17" ht="12.75" customHeight="1" x14ac:dyDescent="0.15">
      <c r="D27" s="43"/>
      <c r="E27" s="49" t="s">
        <v>53</v>
      </c>
      <c r="F27" s="50" t="s">
        <v>54</v>
      </c>
      <c r="G27" s="48"/>
      <c r="H27" s="50" t="s">
        <v>55</v>
      </c>
      <c r="I27" s="50" t="s">
        <v>56</v>
      </c>
      <c r="J27" s="51" t="s">
        <v>57</v>
      </c>
      <c r="K27" s="25"/>
      <c r="L27" s="51" t="s">
        <v>58</v>
      </c>
      <c r="M27" s="52" t="s">
        <v>59</v>
      </c>
    </row>
    <row r="28" spans="1:17" ht="12.75" customHeight="1" x14ac:dyDescent="0.15">
      <c r="D28" s="43"/>
      <c r="E28" s="53"/>
      <c r="F28" s="48"/>
      <c r="G28" s="48"/>
      <c r="H28" s="48"/>
      <c r="I28" s="48"/>
      <c r="J28" s="48"/>
      <c r="K28" s="48"/>
      <c r="L28" s="48"/>
      <c r="M28" s="52" t="s">
        <v>18</v>
      </c>
    </row>
    <row r="29" spans="1:17" ht="12.75" customHeight="1" x14ac:dyDescent="0.15">
      <c r="D29" s="43"/>
      <c r="E29" s="54"/>
      <c r="F29" s="55"/>
      <c r="G29" s="55"/>
      <c r="H29" s="55"/>
      <c r="I29" s="55"/>
      <c r="J29" s="55"/>
      <c r="K29" s="55"/>
      <c r="L29" s="55"/>
      <c r="M29" s="52"/>
    </row>
    <row r="30" spans="1:17" ht="12.75" customHeight="1" x14ac:dyDescent="0.15">
      <c r="E30" s="56"/>
      <c r="F30" s="57"/>
      <c r="G30" s="57"/>
      <c r="H30" s="57"/>
      <c r="I30" s="57"/>
      <c r="J30" s="57"/>
      <c r="K30" s="57"/>
      <c r="L30" s="57"/>
    </row>
    <row r="31" spans="1:17" ht="13.5" customHeight="1" x14ac:dyDescent="0.15">
      <c r="D31" s="58" t="s">
        <v>60</v>
      </c>
    </row>
    <row r="32" spans="1:17" ht="60" customHeight="1" x14ac:dyDescent="0.15">
      <c r="D32" s="84" t="s">
        <v>71</v>
      </c>
      <c r="E32" s="85"/>
      <c r="F32" s="85"/>
      <c r="G32" s="85"/>
      <c r="H32" s="85"/>
      <c r="I32" s="85"/>
      <c r="J32" s="85"/>
      <c r="K32" s="85"/>
      <c r="L32" s="59"/>
      <c r="M32" s="59"/>
      <c r="N32" s="59"/>
      <c r="O32" s="59"/>
      <c r="P32" s="59"/>
      <c r="Q32" s="60"/>
    </row>
    <row r="33" spans="4:17" x14ac:dyDescent="0.15">
      <c r="D33" s="61"/>
      <c r="E33" s="62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4"/>
    </row>
    <row r="34" spans="4:17" x14ac:dyDescent="0.15">
      <c r="D34" s="65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7"/>
    </row>
    <row r="35" spans="4:17" x14ac:dyDescent="0.15">
      <c r="D35" s="31"/>
      <c r="E35" s="31"/>
      <c r="F35" s="31"/>
      <c r="G35" s="31"/>
      <c r="H35" s="31"/>
      <c r="I35" s="31"/>
      <c r="J35" s="31"/>
      <c r="K35" s="31"/>
      <c r="L35" s="31"/>
    </row>
    <row r="36" spans="4:17" ht="15" customHeight="1" x14ac:dyDescent="0.15">
      <c r="D36" s="83" t="s">
        <v>61</v>
      </c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</row>
    <row r="38" spans="4:17" ht="13.5" customHeight="1" x14ac:dyDescent="0.15">
      <c r="D38" s="68" t="s">
        <v>62</v>
      </c>
    </row>
    <row r="39" spans="4:17" ht="13.5" customHeight="1" x14ac:dyDescent="0.15">
      <c r="D39" s="69" t="s">
        <v>63</v>
      </c>
    </row>
    <row r="40" spans="4:17" ht="13.5" customHeight="1" x14ac:dyDescent="0.15">
      <c r="D40" s="69" t="s">
        <v>64</v>
      </c>
    </row>
    <row r="41" spans="4:17" ht="13.5" customHeight="1" x14ac:dyDescent="0.15">
      <c r="D41" s="69" t="s">
        <v>65</v>
      </c>
    </row>
    <row r="42" spans="4:17" ht="13.5" customHeight="1" x14ac:dyDescent="0.15">
      <c r="D42" s="69" t="s">
        <v>66</v>
      </c>
    </row>
    <row r="43" spans="4:17" ht="13.5" customHeight="1" x14ac:dyDescent="0.15">
      <c r="D43" s="68" t="s">
        <v>67</v>
      </c>
    </row>
    <row r="44" spans="4:17" ht="13.5" customHeight="1" x14ac:dyDescent="0.15">
      <c r="D44" s="70" t="s">
        <v>68</v>
      </c>
    </row>
  </sheetData>
  <mergeCells count="11">
    <mergeCell ref="K10:K11"/>
    <mergeCell ref="L10:L11"/>
    <mergeCell ref="N10:Q10"/>
    <mergeCell ref="N21:Q21"/>
    <mergeCell ref="D36:Q36"/>
    <mergeCell ref="D32:K32"/>
    <mergeCell ref="F10:F11"/>
    <mergeCell ref="G10:G11"/>
    <mergeCell ref="H10:H11"/>
    <mergeCell ref="I10:I11"/>
    <mergeCell ref="J10:J11"/>
  </mergeCells>
  <printOptions horizontalCentered="1" verticalCentered="1"/>
  <pageMargins left="0.1" right="0.1" top="0.1" bottom="0.1" header="0.511811023622047" footer="0.511811023622047"/>
  <pageSetup scale="95" orientation="landscape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DDF75-2DE8-5D4C-B21B-687FBBF35C78}">
  <dimension ref="A1:Q34"/>
  <sheetViews>
    <sheetView showGridLines="0" tabSelected="1" zoomScale="111" zoomScaleNormal="100" workbookViewId="0">
      <selection activeCell="L6" sqref="L6"/>
    </sheetView>
  </sheetViews>
  <sheetFormatPr baseColWidth="10" defaultColWidth="8.83203125" defaultRowHeight="12" x14ac:dyDescent="0.15"/>
  <cols>
    <col min="1" max="1" width="2.6640625" style="1" customWidth="1"/>
    <col min="2" max="2" width="17.5" style="1" customWidth="1"/>
    <col min="3" max="3" width="14.83203125" style="1" customWidth="1"/>
    <col min="4" max="4" width="12.33203125" style="1" customWidth="1"/>
    <col min="5" max="5" width="40.33203125" style="1" bestFit="1" customWidth="1"/>
    <col min="6" max="17" width="10.6640625" style="1" customWidth="1"/>
    <col min="18" max="18" width="2.6640625" style="1" customWidth="1"/>
    <col min="19" max="16384" width="8.83203125" style="1"/>
  </cols>
  <sheetData>
    <row r="1" spans="1:17" ht="25.5" customHeight="1" x14ac:dyDescent="0.25">
      <c r="D1" s="2" t="s">
        <v>72</v>
      </c>
    </row>
    <row r="2" spans="1:17" ht="15" customHeight="1" x14ac:dyDescent="0.15">
      <c r="D2" s="3"/>
      <c r="J2" s="4"/>
      <c r="K2" s="4"/>
      <c r="L2" s="4"/>
      <c r="O2" s="5"/>
      <c r="P2" s="6"/>
    </row>
    <row r="3" spans="1:17" ht="15" customHeight="1" x14ac:dyDescent="0.15">
      <c r="D3" s="3" t="s">
        <v>0</v>
      </c>
      <c r="E3" s="7" t="s">
        <v>70</v>
      </c>
      <c r="F3" s="3"/>
      <c r="G3" s="3"/>
      <c r="H3" s="4"/>
      <c r="I3" s="8"/>
      <c r="J3" s="3"/>
      <c r="K3" s="3"/>
      <c r="N3" s="9" t="s">
        <v>1</v>
      </c>
      <c r="O3" s="10"/>
      <c r="P3" s="11"/>
    </row>
    <row r="4" spans="1:17" ht="15" customHeight="1" x14ac:dyDescent="0.15">
      <c r="D4" s="3" t="s">
        <v>2</v>
      </c>
      <c r="E4" s="7" t="s">
        <v>69</v>
      </c>
      <c r="F4" s="3"/>
      <c r="G4" s="3"/>
      <c r="H4" s="4"/>
      <c r="I4" s="8"/>
      <c r="J4" s="3"/>
      <c r="K4" s="3"/>
      <c r="N4" s="12" t="s">
        <v>3</v>
      </c>
      <c r="O4" s="12" t="s">
        <v>4</v>
      </c>
      <c r="P4" s="12" t="s">
        <v>5</v>
      </c>
    </row>
    <row r="5" spans="1:17" ht="15" customHeight="1" x14ac:dyDescent="0.15">
      <c r="D5" s="3" t="s">
        <v>6</v>
      </c>
      <c r="E5" s="7" t="s">
        <v>7</v>
      </c>
      <c r="F5" s="3"/>
      <c r="G5" s="3"/>
      <c r="H5" s="4"/>
      <c r="I5" s="8"/>
      <c r="J5" s="3"/>
      <c r="K5" s="3"/>
      <c r="N5" s="13" t="s">
        <v>8</v>
      </c>
      <c r="O5" s="14" t="s">
        <v>9</v>
      </c>
      <c r="P5" s="13" t="s">
        <v>10</v>
      </c>
    </row>
    <row r="6" spans="1:17" ht="15" customHeight="1" x14ac:dyDescent="0.15">
      <c r="D6" s="3"/>
      <c r="E6" s="4"/>
      <c r="F6" s="3"/>
      <c r="G6" s="3"/>
      <c r="H6" s="4"/>
      <c r="I6" s="8"/>
      <c r="J6" s="3"/>
      <c r="K6" s="3"/>
      <c r="O6" s="10"/>
      <c r="P6" s="11"/>
    </row>
    <row r="7" spans="1:17" ht="15" customHeight="1" x14ac:dyDescent="0.15">
      <c r="D7" s="3"/>
      <c r="E7" s="15"/>
      <c r="F7" s="3"/>
      <c r="G7" s="3"/>
      <c r="H7" s="4"/>
      <c r="I7" s="8"/>
      <c r="J7" s="3"/>
      <c r="K7" s="3"/>
      <c r="N7" s="9" t="s">
        <v>11</v>
      </c>
      <c r="O7" s="10"/>
      <c r="P7" s="11"/>
    </row>
    <row r="8" spans="1:17" ht="15" customHeight="1" x14ac:dyDescent="0.15">
      <c r="D8" s="3"/>
      <c r="E8" s="4"/>
      <c r="F8" s="3"/>
      <c r="G8" s="3"/>
      <c r="H8" s="4"/>
      <c r="I8" s="8"/>
      <c r="J8" s="3"/>
      <c r="K8" s="3"/>
      <c r="L8" s="4"/>
      <c r="N8" s="16">
        <v>9</v>
      </c>
      <c r="O8" s="16">
        <v>3</v>
      </c>
      <c r="P8" s="16">
        <v>1</v>
      </c>
      <c r="Q8" s="16"/>
    </row>
    <row r="9" spans="1:17" ht="15" customHeight="1" x14ac:dyDescent="0.15">
      <c r="D9" s="3"/>
      <c r="E9" s="71" t="s">
        <v>12</v>
      </c>
      <c r="F9" s="74" t="s">
        <v>13</v>
      </c>
      <c r="G9" s="75"/>
      <c r="H9" s="76" t="s">
        <v>13</v>
      </c>
      <c r="I9" s="76" t="s">
        <v>13</v>
      </c>
      <c r="J9" s="76" t="s">
        <v>13</v>
      </c>
      <c r="K9" s="77"/>
      <c r="L9" s="76" t="s">
        <v>13</v>
      </c>
      <c r="N9" s="13" t="s">
        <v>14</v>
      </c>
      <c r="O9" s="13" t="s">
        <v>15</v>
      </c>
      <c r="P9" s="13" t="s">
        <v>16</v>
      </c>
      <c r="Q9" s="13" t="s">
        <v>17</v>
      </c>
    </row>
    <row r="10" spans="1:17" ht="25.5" customHeight="1" x14ac:dyDescent="0.15">
      <c r="D10" s="17" t="s">
        <v>18</v>
      </c>
      <c r="E10" s="72" t="s">
        <v>19</v>
      </c>
      <c r="F10" s="80" t="s">
        <v>20</v>
      </c>
      <c r="G10" s="79"/>
      <c r="H10" s="80" t="s">
        <v>21</v>
      </c>
      <c r="I10" s="80" t="s">
        <v>22</v>
      </c>
      <c r="J10" s="80" t="s">
        <v>23</v>
      </c>
      <c r="K10" s="79"/>
      <c r="L10" s="80" t="s">
        <v>24</v>
      </c>
      <c r="N10" s="86" t="s">
        <v>25</v>
      </c>
      <c r="O10" s="86"/>
      <c r="P10" s="86"/>
      <c r="Q10" s="86"/>
    </row>
    <row r="11" spans="1:17" ht="51.75" customHeight="1" x14ac:dyDescent="0.15">
      <c r="A11" s="8"/>
      <c r="B11" s="78" t="s">
        <v>26</v>
      </c>
      <c r="C11" s="78" t="s">
        <v>27</v>
      </c>
      <c r="D11" s="78" t="s">
        <v>28</v>
      </c>
      <c r="E11" s="73" t="s">
        <v>29</v>
      </c>
      <c r="F11" s="80"/>
      <c r="G11" s="80"/>
      <c r="H11" s="80"/>
      <c r="I11" s="80"/>
      <c r="J11" s="80"/>
      <c r="K11" s="80"/>
      <c r="L11" s="80"/>
      <c r="M11" s="19" t="s">
        <v>30</v>
      </c>
      <c r="N11" s="20" t="s">
        <v>31</v>
      </c>
      <c r="O11" s="18" t="s">
        <v>32</v>
      </c>
      <c r="P11" s="18" t="s">
        <v>33</v>
      </c>
      <c r="Q11" s="18" t="s">
        <v>34</v>
      </c>
    </row>
    <row r="12" spans="1:17" ht="15" customHeight="1" x14ac:dyDescent="0.15">
      <c r="A12" s="21">
        <v>1</v>
      </c>
      <c r="B12" s="22">
        <v>5</v>
      </c>
      <c r="C12" s="23">
        <f t="shared" ref="C12:C17" si="0">B12/SUM($B$12:$B$17)</f>
        <v>0.19230769230769232</v>
      </c>
      <c r="D12" s="22">
        <v>1</v>
      </c>
      <c r="E12" s="24" t="s">
        <v>35</v>
      </c>
      <c r="F12" s="25">
        <v>9</v>
      </c>
      <c r="G12" s="25"/>
      <c r="H12" s="25">
        <v>9</v>
      </c>
      <c r="I12" s="25">
        <v>3</v>
      </c>
      <c r="J12" s="25">
        <v>1</v>
      </c>
      <c r="K12" s="25"/>
      <c r="L12" s="25">
        <v>3</v>
      </c>
      <c r="M12" s="26">
        <f t="shared" ref="M12:M20" si="1">(F12*D12)+(H12*D12)+(I12*D12)+(J12*D12)+(L12*D12)</f>
        <v>25</v>
      </c>
      <c r="N12" s="27"/>
      <c r="O12" s="28"/>
      <c r="P12" s="27"/>
      <c r="Q12" s="28"/>
    </row>
    <row r="13" spans="1:17" ht="15" customHeight="1" x14ac:dyDescent="0.15">
      <c r="A13" s="21">
        <v>2</v>
      </c>
      <c r="B13" s="22">
        <v>5</v>
      </c>
      <c r="C13" s="23">
        <f t="shared" si="0"/>
        <v>0.19230769230769232</v>
      </c>
      <c r="D13" s="22">
        <v>2</v>
      </c>
      <c r="E13" s="29" t="s">
        <v>36</v>
      </c>
      <c r="F13" s="25">
        <v>3</v>
      </c>
      <c r="G13" s="25"/>
      <c r="H13" s="25">
        <v>1</v>
      </c>
      <c r="I13" s="25">
        <v>9</v>
      </c>
      <c r="J13" s="25">
        <v>9</v>
      </c>
      <c r="K13" s="25"/>
      <c r="L13" s="25">
        <v>9</v>
      </c>
      <c r="M13" s="26">
        <f t="shared" si="1"/>
        <v>62</v>
      </c>
      <c r="N13" s="30"/>
      <c r="O13" s="25"/>
      <c r="P13" s="30"/>
      <c r="Q13" s="25"/>
    </row>
    <row r="14" spans="1:17" ht="15" customHeight="1" x14ac:dyDescent="0.15">
      <c r="A14" s="21">
        <v>3</v>
      </c>
      <c r="B14" s="22">
        <v>4</v>
      </c>
      <c r="C14" s="23">
        <f t="shared" si="0"/>
        <v>0.15384615384615385</v>
      </c>
      <c r="D14" s="22">
        <v>3</v>
      </c>
      <c r="E14" s="29" t="s">
        <v>37</v>
      </c>
      <c r="F14" s="25">
        <v>9</v>
      </c>
      <c r="G14" s="25"/>
      <c r="H14" s="25">
        <v>3</v>
      </c>
      <c r="I14" s="25">
        <v>9</v>
      </c>
      <c r="J14" s="25">
        <v>1</v>
      </c>
      <c r="K14" s="25"/>
      <c r="L14" s="25">
        <v>9</v>
      </c>
      <c r="M14" s="26">
        <f t="shared" si="1"/>
        <v>93</v>
      </c>
      <c r="N14" s="30"/>
      <c r="O14" s="25"/>
      <c r="P14" s="30"/>
      <c r="Q14" s="25"/>
    </row>
    <row r="15" spans="1:17" ht="15" customHeight="1" x14ac:dyDescent="0.15">
      <c r="A15" s="21">
        <v>4</v>
      </c>
      <c r="B15" s="22">
        <v>5</v>
      </c>
      <c r="C15" s="23">
        <f t="shared" si="0"/>
        <v>0.19230769230769232</v>
      </c>
      <c r="D15" s="22">
        <v>4</v>
      </c>
      <c r="E15" s="29" t="s">
        <v>38</v>
      </c>
      <c r="F15" s="25">
        <v>1</v>
      </c>
      <c r="G15" s="25"/>
      <c r="H15" s="25">
        <v>9</v>
      </c>
      <c r="I15" s="25">
        <v>3</v>
      </c>
      <c r="J15" s="25">
        <v>3</v>
      </c>
      <c r="K15" s="25"/>
      <c r="L15" s="25">
        <v>3</v>
      </c>
      <c r="M15" s="26">
        <f t="shared" si="1"/>
        <v>76</v>
      </c>
      <c r="N15" s="30"/>
      <c r="O15" s="25"/>
      <c r="P15" s="30"/>
      <c r="Q15" s="25"/>
    </row>
    <row r="16" spans="1:17" ht="15" customHeight="1" x14ac:dyDescent="0.15">
      <c r="A16" s="21">
        <v>5</v>
      </c>
      <c r="B16" s="22">
        <v>4</v>
      </c>
      <c r="C16" s="23">
        <f t="shared" si="0"/>
        <v>0.15384615384615385</v>
      </c>
      <c r="D16" s="22">
        <v>5</v>
      </c>
      <c r="E16" s="29" t="s">
        <v>39</v>
      </c>
      <c r="F16" s="25">
        <v>9</v>
      </c>
      <c r="G16" s="25"/>
      <c r="H16" s="25">
        <v>9</v>
      </c>
      <c r="I16" s="25">
        <v>1</v>
      </c>
      <c r="J16" s="25">
        <v>1</v>
      </c>
      <c r="K16" s="25"/>
      <c r="L16" s="25">
        <v>3</v>
      </c>
      <c r="M16" s="26">
        <f t="shared" si="1"/>
        <v>115</v>
      </c>
      <c r="N16" s="30"/>
      <c r="O16" s="25"/>
      <c r="P16" s="30"/>
      <c r="Q16" s="25"/>
    </row>
    <row r="17" spans="1:17" ht="15" customHeight="1" x14ac:dyDescent="0.15">
      <c r="A17" s="21">
        <v>6</v>
      </c>
      <c r="B17" s="22">
        <v>3</v>
      </c>
      <c r="C17" s="23">
        <f t="shared" si="0"/>
        <v>0.11538461538461539</v>
      </c>
      <c r="D17" s="22">
        <v>6</v>
      </c>
      <c r="E17" s="29" t="s">
        <v>40</v>
      </c>
      <c r="F17" s="25">
        <v>3</v>
      </c>
      <c r="G17" s="25"/>
      <c r="H17" s="25">
        <v>3</v>
      </c>
      <c r="I17" s="25">
        <v>1</v>
      </c>
      <c r="J17" s="25">
        <v>9</v>
      </c>
      <c r="K17" s="25"/>
      <c r="L17" s="25">
        <v>3</v>
      </c>
      <c r="M17" s="26">
        <f t="shared" si="1"/>
        <v>114</v>
      </c>
      <c r="N17" s="30"/>
      <c r="O17" s="25"/>
      <c r="P17" s="30"/>
      <c r="Q17" s="25"/>
    </row>
    <row r="18" spans="1:17" ht="15" customHeight="1" x14ac:dyDescent="0.15">
      <c r="A18" s="21"/>
      <c r="B18" s="22"/>
      <c r="C18" s="22"/>
      <c r="D18" s="22"/>
      <c r="E18" s="29"/>
      <c r="F18" s="25"/>
      <c r="G18" s="25"/>
      <c r="H18" s="25"/>
      <c r="I18" s="25"/>
      <c r="J18" s="25"/>
      <c r="K18" s="25"/>
      <c r="L18" s="25"/>
      <c r="M18" s="26">
        <f t="shared" si="1"/>
        <v>0</v>
      </c>
      <c r="N18" s="30"/>
      <c r="O18" s="25"/>
      <c r="P18" s="30"/>
      <c r="Q18" s="25"/>
    </row>
    <row r="19" spans="1:17" ht="15" customHeight="1" x14ac:dyDescent="0.15">
      <c r="A19" s="21">
        <v>8</v>
      </c>
      <c r="B19" s="22" t="s">
        <v>41</v>
      </c>
      <c r="C19" s="23">
        <f>SUM(C12:C18)</f>
        <v>1</v>
      </c>
      <c r="D19" s="22"/>
      <c r="E19" s="29"/>
      <c r="F19" s="25"/>
      <c r="G19" s="25"/>
      <c r="H19" s="25"/>
      <c r="I19" s="25"/>
      <c r="J19" s="25"/>
      <c r="K19" s="25"/>
      <c r="L19" s="25"/>
      <c r="M19" s="26">
        <f t="shared" si="1"/>
        <v>0</v>
      </c>
      <c r="N19" s="30"/>
      <c r="O19" s="25"/>
      <c r="P19" s="30"/>
      <c r="Q19" s="25"/>
    </row>
    <row r="20" spans="1:17" ht="15" customHeight="1" x14ac:dyDescent="0.15">
      <c r="A20" s="21">
        <v>9</v>
      </c>
      <c r="B20" s="22"/>
      <c r="C20" s="22"/>
      <c r="D20" s="22"/>
      <c r="E20" s="29"/>
      <c r="F20" s="25"/>
      <c r="G20" s="25"/>
      <c r="H20" s="25"/>
      <c r="I20" s="25"/>
      <c r="J20" s="25"/>
      <c r="K20" s="25"/>
      <c r="L20" s="25"/>
      <c r="M20" s="26">
        <f t="shared" si="1"/>
        <v>0</v>
      </c>
      <c r="N20" s="30"/>
      <c r="O20" s="25"/>
      <c r="P20" s="30"/>
      <c r="Q20" s="25"/>
    </row>
    <row r="21" spans="1:17" ht="12.75" customHeight="1" x14ac:dyDescent="0.15">
      <c r="D21" s="31"/>
      <c r="E21" s="32" t="s">
        <v>42</v>
      </c>
      <c r="F21" s="33" t="s">
        <v>43</v>
      </c>
      <c r="G21" s="34"/>
      <c r="H21" s="33" t="s">
        <v>44</v>
      </c>
      <c r="I21" s="33" t="s">
        <v>45</v>
      </c>
      <c r="J21" s="33" t="s">
        <v>46</v>
      </c>
      <c r="K21" s="34"/>
      <c r="L21" s="33" t="s">
        <v>47</v>
      </c>
      <c r="M21" s="35"/>
      <c r="N21" s="82"/>
      <c r="O21" s="82"/>
      <c r="P21" s="82"/>
      <c r="Q21" s="82"/>
    </row>
    <row r="22" spans="1:17" ht="12.75" customHeight="1" x14ac:dyDescent="0.15">
      <c r="D22" s="31"/>
      <c r="E22" s="36" t="s">
        <v>48</v>
      </c>
      <c r="F22" s="37">
        <f>F12*B12+F14*B14+F15*B15+F16*B16+F17*B17+F13*B13</f>
        <v>146</v>
      </c>
      <c r="G22" s="38"/>
      <c r="H22" s="37">
        <f>H12*B12+H14*B14+H15*B15+H16*B16+H17*B17+H13*B13</f>
        <v>152</v>
      </c>
      <c r="I22" s="37">
        <f>I12*B12+I14*B14+I15*B15+I16*B16+I17*B17+I13*B13</f>
        <v>118</v>
      </c>
      <c r="J22" s="37">
        <f>J12*B12+J14*B14+J15*B15+J16*B16+J17*B17+J13*B13</f>
        <v>100</v>
      </c>
      <c r="K22" s="38"/>
      <c r="L22" s="37">
        <f>L12*B12+L14*B14+L15*B15+L16*B16+L17*B17+L13*B13</f>
        <v>132</v>
      </c>
      <c r="M22" s="39">
        <f>F22+H22+I22+J22+L22</f>
        <v>648</v>
      </c>
    </row>
    <row r="23" spans="1:17" ht="12.75" customHeight="1" x14ac:dyDescent="0.15">
      <c r="D23" s="31"/>
      <c r="E23" s="36" t="s">
        <v>49</v>
      </c>
      <c r="F23" s="40">
        <f>F22/$M$22</f>
        <v>0.22530864197530864</v>
      </c>
      <c r="G23" s="41"/>
      <c r="H23" s="40">
        <f>H22/$M$22</f>
        <v>0.23456790123456789</v>
      </c>
      <c r="I23" s="40">
        <f>I22/$M$22</f>
        <v>0.18209876543209877</v>
      </c>
      <c r="J23" s="40">
        <f>J22/$M$22</f>
        <v>0.15432098765432098</v>
      </c>
      <c r="K23" s="41"/>
      <c r="L23" s="40">
        <f>L22/$M$22</f>
        <v>0.20370370370370369</v>
      </c>
      <c r="M23" s="42">
        <f>F23+H23+I23+J23+L23</f>
        <v>1</v>
      </c>
    </row>
    <row r="24" spans="1:17" ht="12.75" customHeight="1" x14ac:dyDescent="0.15">
      <c r="D24" s="43"/>
      <c r="E24" s="36" t="s">
        <v>50</v>
      </c>
      <c r="F24" s="44">
        <f>F23</f>
        <v>0.22530864197530864</v>
      </c>
      <c r="G24" s="45"/>
      <c r="H24" s="44">
        <f>H23</f>
        <v>0.23456790123456789</v>
      </c>
      <c r="I24" s="44">
        <f>I23</f>
        <v>0.18209876543209877</v>
      </c>
      <c r="J24" s="44">
        <f>J23</f>
        <v>0.15432098765432098</v>
      </c>
      <c r="K24" s="45"/>
      <c r="L24" s="44">
        <f>L23</f>
        <v>0.20370370370370369</v>
      </c>
      <c r="M24" s="42">
        <f>F24+H24+I24+J24+L24</f>
        <v>1</v>
      </c>
    </row>
    <row r="25" spans="1:17" ht="12.75" customHeight="1" x14ac:dyDescent="0.15">
      <c r="D25" s="43"/>
      <c r="E25" s="46" t="s">
        <v>51</v>
      </c>
      <c r="F25" s="47">
        <v>2</v>
      </c>
      <c r="G25" s="48"/>
      <c r="H25" s="47">
        <v>1</v>
      </c>
      <c r="I25" s="47">
        <v>4</v>
      </c>
      <c r="J25" s="47">
        <v>5</v>
      </c>
      <c r="K25" s="48"/>
      <c r="L25" s="47">
        <v>3</v>
      </c>
      <c r="M25" s="17"/>
    </row>
    <row r="26" spans="1:17" ht="12.75" customHeight="1" x14ac:dyDescent="0.15">
      <c r="D26" s="43"/>
      <c r="E26" s="49" t="s">
        <v>52</v>
      </c>
      <c r="F26" s="50">
        <v>167</v>
      </c>
      <c r="G26" s="48"/>
      <c r="H26" s="50">
        <v>173</v>
      </c>
      <c r="I26" s="50">
        <v>147</v>
      </c>
      <c r="J26" s="50">
        <v>106</v>
      </c>
      <c r="K26" s="48"/>
      <c r="L26" s="50">
        <v>174</v>
      </c>
      <c r="M26" s="17"/>
    </row>
    <row r="27" spans="1:17" ht="12.75" customHeight="1" x14ac:dyDescent="0.15">
      <c r="D27" s="43"/>
      <c r="E27" s="49" t="s">
        <v>53</v>
      </c>
      <c r="F27" s="50" t="s">
        <v>54</v>
      </c>
      <c r="G27" s="48"/>
      <c r="H27" s="50" t="s">
        <v>55</v>
      </c>
      <c r="I27" s="50" t="s">
        <v>56</v>
      </c>
      <c r="J27" s="51" t="s">
        <v>57</v>
      </c>
      <c r="K27" s="25"/>
      <c r="L27" s="51" t="s">
        <v>58</v>
      </c>
      <c r="M27" s="52" t="s">
        <v>59</v>
      </c>
    </row>
    <row r="28" spans="1:17" ht="12.75" customHeight="1" x14ac:dyDescent="0.15">
      <c r="D28" s="43"/>
      <c r="E28" s="53"/>
      <c r="F28" s="48"/>
      <c r="G28" s="48"/>
      <c r="H28" s="48"/>
      <c r="I28" s="48"/>
      <c r="J28" s="48"/>
      <c r="K28" s="48"/>
      <c r="L28" s="48"/>
      <c r="M28" s="52" t="s">
        <v>18</v>
      </c>
    </row>
    <row r="29" spans="1:17" ht="12.75" customHeight="1" x14ac:dyDescent="0.15">
      <c r="D29" s="43"/>
      <c r="E29" s="54"/>
      <c r="F29" s="55"/>
      <c r="G29" s="55"/>
      <c r="H29" s="55"/>
      <c r="I29" s="55"/>
      <c r="J29" s="55"/>
      <c r="K29" s="55"/>
      <c r="L29" s="55"/>
      <c r="M29" s="52"/>
    </row>
    <row r="30" spans="1:17" ht="12.75" customHeight="1" x14ac:dyDescent="0.15">
      <c r="E30" s="56"/>
      <c r="F30" s="57"/>
      <c r="G30" s="57"/>
      <c r="H30" s="57"/>
      <c r="I30" s="57"/>
      <c r="J30" s="57"/>
      <c r="K30" s="57"/>
      <c r="L30" s="57"/>
    </row>
    <row r="31" spans="1:17" ht="13.5" customHeight="1" x14ac:dyDescent="0.15">
      <c r="D31" s="58" t="s">
        <v>60</v>
      </c>
    </row>
    <row r="32" spans="1:17" ht="60" customHeight="1" x14ac:dyDescent="0.15">
      <c r="D32" s="84" t="s">
        <v>71</v>
      </c>
      <c r="E32" s="85"/>
      <c r="F32" s="85"/>
      <c r="G32" s="85"/>
      <c r="H32" s="85"/>
      <c r="I32" s="85"/>
      <c r="J32" s="85"/>
      <c r="K32" s="85"/>
      <c r="L32" s="59"/>
      <c r="M32" s="59"/>
      <c r="N32" s="59"/>
      <c r="O32" s="59"/>
      <c r="P32" s="59"/>
      <c r="Q32" s="60"/>
    </row>
    <row r="33" spans="4:17" x14ac:dyDescent="0.15">
      <c r="D33" s="61"/>
      <c r="E33" s="62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4"/>
    </row>
    <row r="34" spans="4:17" x14ac:dyDescent="0.15">
      <c r="D34" s="65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7"/>
    </row>
  </sheetData>
  <mergeCells count="10">
    <mergeCell ref="L10:L11"/>
    <mergeCell ref="N10:Q10"/>
    <mergeCell ref="N21:Q21"/>
    <mergeCell ref="D32:K32"/>
    <mergeCell ref="F10:F11"/>
    <mergeCell ref="G10:G11"/>
    <mergeCell ref="H10:H11"/>
    <mergeCell ref="I10:I11"/>
    <mergeCell ref="J10:J11"/>
    <mergeCell ref="K10:K11"/>
  </mergeCells>
  <printOptions horizontalCentered="1" verticalCentered="1"/>
  <pageMargins left="0.1" right="0.1" top="0.1" bottom="0.1" header="0.511811023622047" footer="0.511811023622047"/>
  <pageSetup scale="95" orientation="landscape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QFD</vt:lpstr>
      <vt:lpstr>QFD (2)</vt:lpstr>
      <vt:lpstr>QFD!Print_Area</vt:lpstr>
      <vt:lpstr>'QFD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lolo</dc:creator>
  <dc:description/>
  <cp:lastModifiedBy>Pazhanivel, Jagathguru</cp:lastModifiedBy>
  <cp:revision>0</cp:revision>
  <cp:lastPrinted>2019-03-18T18:37:29Z</cp:lastPrinted>
  <dcterms:created xsi:type="dcterms:W3CDTF">1996-10-14T23:33:28Z</dcterms:created>
  <dcterms:modified xsi:type="dcterms:W3CDTF">2026-04-25T12:15:46Z</dcterms:modified>
  <dc:language>en-US</dc:language>
</cp:coreProperties>
</file>